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 L I T E\Desktop\"/>
    </mc:Choice>
  </mc:AlternateContent>
  <bookViews>
    <workbookView xWindow="0" yWindow="0" windowWidth="19200" windowHeight="6930" activeTab="1"/>
  </bookViews>
  <sheets>
    <sheet name="README" sheetId="4" r:id="rId1"/>
    <sheet name="APPLICANTS" sheetId="1" r:id="rId2"/>
    <sheet name="LISTS" sheetId="2" r:id="rId3"/>
    <sheet name="ACTION LIST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01" i="1" l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N301" i="1"/>
  <c r="M301" i="1"/>
  <c r="N300" i="1"/>
  <c r="M300" i="1"/>
  <c r="N299" i="1"/>
  <c r="M299" i="1"/>
  <c r="N298" i="1"/>
  <c r="M298" i="1"/>
  <c r="N297" i="1"/>
  <c r="M297" i="1"/>
  <c r="N296" i="1"/>
  <c r="M296" i="1"/>
  <c r="N295" i="1"/>
  <c r="M295" i="1"/>
  <c r="N294" i="1"/>
  <c r="M294" i="1"/>
  <c r="N293" i="1"/>
  <c r="M293" i="1"/>
  <c r="N292" i="1"/>
  <c r="M292" i="1"/>
  <c r="N291" i="1"/>
  <c r="M291" i="1"/>
  <c r="N290" i="1"/>
  <c r="M290" i="1"/>
  <c r="N289" i="1"/>
  <c r="M289" i="1"/>
  <c r="N288" i="1"/>
  <c r="M288" i="1"/>
  <c r="N287" i="1"/>
  <c r="M287" i="1"/>
  <c r="N286" i="1"/>
  <c r="M286" i="1"/>
  <c r="N285" i="1"/>
  <c r="M285" i="1"/>
  <c r="N284" i="1"/>
  <c r="M284" i="1"/>
  <c r="N283" i="1"/>
  <c r="M283" i="1"/>
  <c r="N282" i="1"/>
  <c r="M282" i="1"/>
  <c r="N281" i="1"/>
  <c r="M281" i="1"/>
  <c r="N280" i="1"/>
  <c r="M280" i="1"/>
  <c r="N279" i="1"/>
  <c r="M279" i="1"/>
  <c r="N278" i="1"/>
  <c r="M278" i="1"/>
  <c r="N277" i="1"/>
  <c r="M277" i="1"/>
  <c r="N276" i="1"/>
  <c r="M276" i="1"/>
  <c r="N275" i="1"/>
  <c r="M275" i="1"/>
  <c r="N274" i="1"/>
  <c r="M274" i="1"/>
  <c r="N273" i="1"/>
  <c r="M273" i="1"/>
  <c r="N272" i="1"/>
  <c r="M272" i="1"/>
  <c r="N271" i="1"/>
  <c r="M271" i="1"/>
  <c r="N270" i="1"/>
  <c r="M270" i="1"/>
  <c r="N269" i="1"/>
  <c r="M269" i="1"/>
  <c r="N268" i="1"/>
  <c r="M268" i="1"/>
  <c r="N267" i="1"/>
  <c r="M267" i="1"/>
  <c r="N266" i="1"/>
  <c r="M266" i="1"/>
  <c r="N265" i="1"/>
  <c r="M265" i="1"/>
  <c r="N264" i="1"/>
  <c r="M264" i="1"/>
  <c r="N263" i="1"/>
  <c r="M263" i="1"/>
  <c r="N262" i="1"/>
  <c r="M262" i="1"/>
  <c r="N261" i="1"/>
  <c r="M261" i="1"/>
  <c r="N260" i="1"/>
  <c r="M260" i="1"/>
  <c r="N259" i="1"/>
  <c r="M259" i="1"/>
  <c r="N258" i="1"/>
  <c r="M258" i="1"/>
  <c r="N257" i="1"/>
  <c r="M257" i="1"/>
  <c r="N256" i="1"/>
  <c r="M256" i="1"/>
  <c r="N255" i="1"/>
  <c r="M255" i="1"/>
  <c r="N254" i="1"/>
  <c r="M254" i="1"/>
  <c r="N253" i="1"/>
  <c r="M253" i="1"/>
  <c r="N252" i="1"/>
  <c r="M252" i="1"/>
  <c r="N251" i="1"/>
  <c r="M251" i="1"/>
  <c r="N250" i="1"/>
  <c r="M250" i="1"/>
  <c r="N249" i="1"/>
  <c r="M249" i="1"/>
  <c r="N248" i="1"/>
  <c r="M248" i="1"/>
  <c r="N247" i="1"/>
  <c r="M247" i="1"/>
  <c r="N246" i="1"/>
  <c r="M246" i="1"/>
  <c r="N245" i="1"/>
  <c r="M245" i="1"/>
  <c r="N244" i="1"/>
  <c r="M244" i="1"/>
  <c r="N243" i="1"/>
  <c r="M243" i="1"/>
  <c r="N242" i="1"/>
  <c r="M242" i="1"/>
  <c r="N241" i="1"/>
  <c r="M241" i="1"/>
  <c r="N240" i="1"/>
  <c r="M240" i="1"/>
  <c r="N239" i="1"/>
  <c r="M239" i="1"/>
  <c r="N238" i="1"/>
  <c r="M238" i="1"/>
  <c r="N237" i="1"/>
  <c r="M237" i="1"/>
  <c r="N236" i="1"/>
  <c r="M236" i="1"/>
  <c r="N235" i="1"/>
  <c r="M235" i="1"/>
  <c r="N234" i="1"/>
  <c r="M234" i="1"/>
  <c r="N233" i="1"/>
  <c r="M233" i="1"/>
  <c r="N232" i="1"/>
  <c r="M232" i="1"/>
  <c r="N231" i="1"/>
  <c r="M231" i="1"/>
  <c r="N230" i="1"/>
  <c r="M230" i="1"/>
  <c r="N229" i="1"/>
  <c r="M229" i="1"/>
  <c r="N228" i="1"/>
  <c r="M228" i="1"/>
  <c r="N227" i="1"/>
  <c r="M227" i="1"/>
  <c r="N226" i="1"/>
  <c r="M226" i="1"/>
  <c r="N225" i="1"/>
  <c r="M225" i="1"/>
  <c r="N224" i="1"/>
  <c r="M224" i="1"/>
  <c r="N223" i="1"/>
  <c r="M223" i="1"/>
  <c r="N222" i="1"/>
  <c r="M222" i="1"/>
  <c r="N221" i="1"/>
  <c r="M221" i="1"/>
  <c r="N220" i="1"/>
  <c r="M220" i="1"/>
  <c r="N219" i="1"/>
  <c r="M219" i="1"/>
  <c r="N218" i="1"/>
  <c r="M218" i="1"/>
  <c r="N217" i="1"/>
  <c r="M217" i="1"/>
  <c r="N216" i="1"/>
  <c r="M216" i="1"/>
  <c r="N215" i="1"/>
  <c r="M215" i="1"/>
  <c r="N214" i="1"/>
  <c r="M214" i="1"/>
  <c r="N213" i="1"/>
  <c r="M213" i="1"/>
  <c r="N212" i="1"/>
  <c r="M212" i="1"/>
  <c r="N211" i="1"/>
  <c r="M211" i="1"/>
  <c r="N210" i="1"/>
  <c r="M210" i="1"/>
  <c r="N209" i="1"/>
  <c r="M209" i="1"/>
  <c r="N208" i="1"/>
  <c r="M208" i="1"/>
  <c r="N207" i="1"/>
  <c r="M207" i="1"/>
  <c r="N206" i="1"/>
  <c r="M206" i="1"/>
  <c r="N205" i="1"/>
  <c r="M205" i="1"/>
  <c r="N204" i="1"/>
  <c r="M204" i="1"/>
  <c r="N203" i="1"/>
  <c r="M203" i="1"/>
  <c r="N202" i="1"/>
  <c r="M202" i="1"/>
  <c r="N201" i="1"/>
  <c r="M201" i="1"/>
  <c r="N200" i="1"/>
  <c r="M200" i="1"/>
  <c r="N199" i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M42" i="1"/>
  <c r="N42" i="1" s="1"/>
  <c r="P42" i="1" s="1"/>
  <c r="M41" i="1"/>
  <c r="N41" i="1" s="1"/>
  <c r="P41" i="1" s="1"/>
  <c r="M40" i="1"/>
  <c r="N40" i="1" s="1"/>
  <c r="P40" i="1" s="1"/>
  <c r="M39" i="1"/>
  <c r="N39" i="1" s="1"/>
  <c r="P39" i="1" s="1"/>
  <c r="M38" i="1"/>
  <c r="N38" i="1" s="1"/>
  <c r="P38" i="1" s="1"/>
  <c r="M37" i="1"/>
  <c r="N37" i="1" s="1"/>
  <c r="M36" i="1"/>
  <c r="N36" i="1" s="1"/>
  <c r="P36" i="1" s="1"/>
  <c r="N35" i="1"/>
  <c r="P35" i="1" s="1"/>
  <c r="M35" i="1"/>
  <c r="N34" i="1"/>
  <c r="P34" i="1" s="1"/>
  <c r="M34" i="1"/>
  <c r="M33" i="1"/>
  <c r="N33" i="1" s="1"/>
  <c r="M32" i="1"/>
  <c r="N32" i="1" s="1"/>
  <c r="P32" i="1" s="1"/>
  <c r="N31" i="1"/>
  <c r="P31" i="1" s="1"/>
  <c r="M31" i="1"/>
  <c r="M30" i="1"/>
  <c r="N30" i="1" s="1"/>
  <c r="M29" i="1"/>
  <c r="N29" i="1" s="1"/>
  <c r="P29" i="1" s="1"/>
  <c r="M28" i="1"/>
  <c r="N28" i="1" s="1"/>
  <c r="M27" i="1"/>
  <c r="N27" i="1" s="1"/>
  <c r="P27" i="1" s="1"/>
  <c r="M26" i="1"/>
  <c r="N26" i="1" s="1"/>
  <c r="M25" i="1"/>
  <c r="N25" i="1" s="1"/>
  <c r="N24" i="1"/>
  <c r="P24" i="1" s="1"/>
  <c r="M24" i="1"/>
  <c r="N23" i="1"/>
  <c r="P23" i="1" s="1"/>
  <c r="M23" i="1"/>
  <c r="M22" i="1"/>
  <c r="N22" i="1" s="1"/>
  <c r="M21" i="1"/>
  <c r="N21" i="1" s="1"/>
  <c r="P21" i="1" s="1"/>
  <c r="M20" i="1"/>
  <c r="N20" i="1" s="1"/>
  <c r="M19" i="1"/>
  <c r="N19" i="1" s="1"/>
  <c r="N18" i="1"/>
  <c r="P18" i="1" s="1"/>
  <c r="M18" i="1"/>
  <c r="M17" i="1"/>
  <c r="N17" i="1" s="1"/>
  <c r="M16" i="1"/>
  <c r="N16" i="1" s="1"/>
  <c r="P16" i="1" s="1"/>
  <c r="M15" i="1"/>
  <c r="N15" i="1" s="1"/>
  <c r="M14" i="1"/>
  <c r="N14" i="1" s="1"/>
  <c r="M13" i="1"/>
  <c r="N13" i="1" s="1"/>
  <c r="P13" i="1" s="1"/>
  <c r="M12" i="1"/>
  <c r="N12" i="1" s="1"/>
  <c r="M11" i="1"/>
  <c r="N11" i="1" s="1"/>
  <c r="P11" i="1" s="1"/>
  <c r="M10" i="1"/>
  <c r="N10" i="1" s="1"/>
  <c r="M9" i="1"/>
  <c r="N9" i="1" s="1"/>
  <c r="P9" i="1" s="1"/>
  <c r="M8" i="1"/>
  <c r="N8" i="1" s="1"/>
  <c r="M7" i="1"/>
  <c r="N7" i="1" s="1"/>
  <c r="P7" i="1" s="1"/>
  <c r="M6" i="1"/>
  <c r="N6" i="1" s="1"/>
  <c r="P6" i="1" s="1"/>
  <c r="M5" i="1"/>
  <c r="N5" i="1" s="1"/>
  <c r="P5" i="1" s="1"/>
  <c r="M4" i="1"/>
  <c r="N4" i="1" s="1"/>
  <c r="P4" i="1" s="1"/>
  <c r="N3" i="1"/>
  <c r="P3" i="1" s="1"/>
  <c r="M3" i="1"/>
  <c r="M2" i="1"/>
  <c r="N2" i="1" s="1"/>
  <c r="P2" i="1" s="1"/>
  <c r="B4" i="3" s="1"/>
  <c r="P8" i="1" l="1"/>
  <c r="G5" i="3" s="1"/>
  <c r="P17" i="1"/>
  <c r="P30" i="1"/>
  <c r="P10" i="1"/>
  <c r="P37" i="1"/>
  <c r="P12" i="1"/>
  <c r="P19" i="1"/>
  <c r="P25" i="1"/>
  <c r="P20" i="1"/>
  <c r="P26" i="1"/>
  <c r="P33" i="1"/>
  <c r="P14" i="1"/>
  <c r="P15" i="1"/>
  <c r="P22" i="1"/>
  <c r="P28" i="1"/>
  <c r="G4" i="3"/>
  <c r="J4" i="3"/>
  <c r="I4" i="3"/>
  <c r="H4" i="3"/>
  <c r="E4" i="3"/>
  <c r="F4" i="3"/>
  <c r="C4" i="3"/>
  <c r="D4" i="3"/>
  <c r="A2" i="3"/>
  <c r="H5" i="3" l="1"/>
  <c r="F5" i="3"/>
  <c r="D5" i="3"/>
  <c r="J5" i="3"/>
  <c r="B5" i="3"/>
  <c r="C5" i="3"/>
  <c r="I5" i="3"/>
  <c r="E5" i="3"/>
  <c r="D6" i="3"/>
  <c r="D10" i="3"/>
  <c r="G52" i="3"/>
  <c r="H8" i="3"/>
  <c r="F31" i="3"/>
  <c r="D7" i="3"/>
  <c r="B11" i="3"/>
  <c r="H44" i="3"/>
  <c r="B17" i="3"/>
  <c r="F36" i="3"/>
  <c r="J7" i="3"/>
  <c r="B7" i="3"/>
  <c r="D29" i="3"/>
  <c r="I53" i="3"/>
  <c r="F7" i="3"/>
  <c r="J8" i="3"/>
  <c r="H39" i="3"/>
  <c r="H7" i="3"/>
  <c r="E25" i="3"/>
  <c r="G32" i="3"/>
  <c r="I6" i="3"/>
  <c r="D18" i="3"/>
  <c r="I52" i="3"/>
  <c r="C10" i="3"/>
  <c r="G37" i="3"/>
  <c r="J9" i="3"/>
  <c r="E29" i="3"/>
  <c r="I7" i="3"/>
  <c r="C11" i="3"/>
  <c r="H45" i="3"/>
  <c r="D9" i="3"/>
  <c r="F30" i="3"/>
  <c r="B9" i="3"/>
  <c r="D22" i="3"/>
  <c r="J10" i="3"/>
  <c r="E8" i="3"/>
  <c r="G11" i="3"/>
  <c r="E7" i="3"/>
  <c r="D11" i="3"/>
  <c r="G9" i="3"/>
  <c r="E10" i="3"/>
  <c r="H46" i="3"/>
  <c r="F8" i="3"/>
  <c r="E24" i="3"/>
  <c r="G6" i="3"/>
  <c r="E38" i="3"/>
  <c r="E6" i="3"/>
  <c r="B8" i="3"/>
  <c r="D8" i="3"/>
  <c r="J6" i="3"/>
  <c r="J53" i="3"/>
  <c r="F9" i="3"/>
  <c r="G39" i="3"/>
  <c r="G7" i="3"/>
  <c r="D17" i="3"/>
  <c r="D31" i="3"/>
  <c r="H50" i="3"/>
  <c r="C7" i="3"/>
  <c r="B6" i="3"/>
  <c r="F6" i="3"/>
  <c r="F25" i="3"/>
  <c r="E18" i="3"/>
  <c r="G38" i="3"/>
  <c r="C8" i="3"/>
  <c r="E9" i="3"/>
  <c r="F45" i="3"/>
  <c r="C6" i="3"/>
  <c r="I46" i="3"/>
  <c r="G8" i="3"/>
  <c r="F32" i="3"/>
  <c r="H6" i="3"/>
  <c r="J11" i="3"/>
  <c r="I51" i="3"/>
  <c r="C24" i="3"/>
  <c r="G43" i="3"/>
  <c r="E31" i="3"/>
  <c r="H31" i="3"/>
  <c r="I45" i="3"/>
  <c r="J51" i="3"/>
  <c r="E16" i="3"/>
  <c r="G29" i="3"/>
  <c r="D23" i="3"/>
  <c r="I31" i="3"/>
  <c r="G21" i="3"/>
  <c r="E23" i="3"/>
  <c r="H16" i="3"/>
  <c r="B45" i="3"/>
  <c r="B52" i="3"/>
  <c r="G23" i="3"/>
  <c r="I36" i="3"/>
  <c r="B50" i="3"/>
  <c r="H28" i="3"/>
  <c r="H43" i="3"/>
  <c r="F29" i="3"/>
  <c r="I41" i="3"/>
  <c r="G27" i="3"/>
  <c r="E13" i="3"/>
  <c r="F35" i="3"/>
  <c r="C13" i="3"/>
  <c r="D28" i="3"/>
  <c r="E35" i="3"/>
  <c r="H41" i="3"/>
  <c r="C17" i="3"/>
  <c r="C45" i="3"/>
  <c r="E19" i="3"/>
  <c r="I47" i="3"/>
  <c r="C21" i="3"/>
  <c r="B47" i="3"/>
  <c r="H20" i="3"/>
  <c r="I23" i="3"/>
  <c r="D37" i="3"/>
  <c r="H17" i="3"/>
  <c r="I38" i="3"/>
  <c r="J52" i="3"/>
  <c r="F24" i="3"/>
  <c r="G30" i="3"/>
  <c r="H36" i="3"/>
  <c r="G35" i="3"/>
  <c r="D36" i="3"/>
  <c r="B46" i="3"/>
  <c r="E51" i="3"/>
  <c r="F51" i="3"/>
  <c r="C52" i="3"/>
  <c r="G16" i="3"/>
  <c r="H30" i="3"/>
  <c r="J43" i="3"/>
  <c r="F15" i="3"/>
  <c r="J42" i="3"/>
  <c r="I35" i="3"/>
  <c r="I50" i="3"/>
  <c r="G36" i="3"/>
  <c r="E22" i="3"/>
  <c r="D15" i="3"/>
  <c r="J48" i="3"/>
  <c r="H34" i="3"/>
  <c r="F20" i="3"/>
  <c r="H32" i="3"/>
  <c r="D51" i="3"/>
  <c r="C44" i="3"/>
  <c r="B37" i="3"/>
  <c r="J29" i="3"/>
  <c r="I22" i="3"/>
  <c r="H15" i="3"/>
  <c r="C51" i="3"/>
  <c r="B44" i="3"/>
  <c r="J36" i="3"/>
  <c r="I29" i="3"/>
  <c r="H22" i="3"/>
  <c r="G15" i="3"/>
  <c r="C50" i="3"/>
  <c r="B43" i="3"/>
  <c r="J35" i="3"/>
  <c r="I28" i="3"/>
  <c r="H21" i="3"/>
  <c r="G14" i="3"/>
  <c r="C49" i="3"/>
  <c r="B42" i="3"/>
  <c r="J34" i="3"/>
  <c r="I27" i="3"/>
  <c r="J49" i="3"/>
  <c r="I42" i="3"/>
  <c r="H35" i="3"/>
  <c r="G28" i="3"/>
  <c r="F21" i="3"/>
  <c r="E14" i="3"/>
  <c r="B48" i="3"/>
  <c r="J40" i="3"/>
  <c r="I33" i="3"/>
  <c r="H26" i="3"/>
  <c r="G19" i="3"/>
  <c r="F12" i="3"/>
  <c r="C29" i="3"/>
  <c r="J31" i="3"/>
  <c r="G10" i="3"/>
  <c r="C22" i="3"/>
  <c r="H24" i="3"/>
  <c r="C38" i="3"/>
  <c r="J14" i="3"/>
  <c r="G41" i="3"/>
  <c r="I16" i="3"/>
  <c r="D44" i="3"/>
  <c r="G18" i="3"/>
  <c r="F43" i="3"/>
  <c r="F18" i="3"/>
  <c r="C14" i="3"/>
  <c r="C15" i="3"/>
  <c r="G42" i="3"/>
  <c r="B22" i="3"/>
  <c r="J45" i="3"/>
  <c r="F23" i="3"/>
  <c r="I43" i="3"/>
  <c r="F37" i="3"/>
  <c r="I49" i="3"/>
  <c r="D14" i="3"/>
  <c r="B39" i="3"/>
  <c r="F19" i="3"/>
  <c r="B23" i="3"/>
  <c r="F16" i="3"/>
  <c r="H29" i="3"/>
  <c r="D43" i="3"/>
  <c r="J28" i="3"/>
  <c r="C42" i="3"/>
  <c r="J26" i="3"/>
  <c r="H27" i="3"/>
  <c r="G20" i="3"/>
  <c r="B40" i="3"/>
  <c r="I25" i="3"/>
  <c r="G25" i="3"/>
  <c r="E28" i="3"/>
  <c r="I19" i="3"/>
  <c r="G17" i="3"/>
  <c r="G34" i="3"/>
  <c r="E12" i="3"/>
  <c r="B38" i="3"/>
  <c r="F14" i="3"/>
  <c r="H40" i="3"/>
  <c r="D16" i="3"/>
  <c r="J39" i="3"/>
  <c r="J15" i="3"/>
  <c r="J47" i="3"/>
  <c r="H33" i="3"/>
  <c r="C53" i="3"/>
  <c r="J23" i="3"/>
  <c r="H25" i="3"/>
  <c r="B53" i="3"/>
  <c r="F17" i="3"/>
  <c r="G31" i="3"/>
  <c r="G44" i="3"/>
  <c r="C16" i="3"/>
  <c r="F28" i="3"/>
  <c r="D13" i="3"/>
  <c r="D45" i="3"/>
  <c r="I30" i="3"/>
  <c r="G22" i="3"/>
  <c r="E50" i="3"/>
  <c r="J21" i="3"/>
  <c r="C43" i="3"/>
  <c r="H14" i="3"/>
  <c r="B35" i="3"/>
  <c r="H13" i="3"/>
  <c r="B34" i="3"/>
  <c r="I34" i="3"/>
  <c r="F13" i="3"/>
  <c r="J32" i="3"/>
  <c r="F49" i="3"/>
  <c r="E42" i="3"/>
  <c r="D35" i="3"/>
  <c r="C28" i="3"/>
  <c r="B21" i="3"/>
  <c r="J13" i="3"/>
  <c r="E49" i="3"/>
  <c r="D42" i="3"/>
  <c r="C35" i="3"/>
  <c r="B28" i="3"/>
  <c r="J20" i="3"/>
  <c r="I13" i="3"/>
  <c r="E48" i="3"/>
  <c r="D41" i="3"/>
  <c r="C34" i="3"/>
  <c r="B27" i="3"/>
  <c r="J19" i="3"/>
  <c r="I12" i="3"/>
  <c r="E47" i="3"/>
  <c r="D40" i="3"/>
  <c r="C33" i="3"/>
  <c r="B26" i="3"/>
  <c r="C48" i="3"/>
  <c r="B41" i="3"/>
  <c r="J33" i="3"/>
  <c r="I26" i="3"/>
  <c r="H19" i="3"/>
  <c r="G12" i="3"/>
  <c r="E53" i="3"/>
  <c r="D46" i="3"/>
  <c r="C39" i="3"/>
  <c r="B32" i="3"/>
  <c r="J24" i="3"/>
  <c r="I17" i="3"/>
  <c r="H10" i="3"/>
  <c r="F50" i="3"/>
  <c r="J22" i="3"/>
  <c r="D53" i="3"/>
  <c r="I24" i="3"/>
  <c r="B15" i="3"/>
  <c r="H12" i="3"/>
  <c r="B31" i="3"/>
  <c r="B10" i="3"/>
  <c r="F34" i="3"/>
  <c r="D12" i="3"/>
  <c r="C37" i="3"/>
  <c r="B14" i="3"/>
  <c r="E36" i="3"/>
  <c r="G13" i="3"/>
  <c r="D21" i="3"/>
  <c r="I11" i="3"/>
  <c r="I15" i="3"/>
  <c r="I48" i="3"/>
  <c r="I40" i="3"/>
  <c r="E17" i="3"/>
  <c r="H37" i="3"/>
  <c r="J50" i="3"/>
  <c r="E30" i="3"/>
  <c r="H42" i="3"/>
  <c r="E21" i="3"/>
  <c r="E15" i="3"/>
  <c r="H48" i="3"/>
  <c r="G50" i="3"/>
  <c r="H23" i="3"/>
  <c r="I37" i="3"/>
  <c r="C36" i="3"/>
  <c r="I14" i="3"/>
  <c r="B36" i="3"/>
  <c r="J27" i="3"/>
  <c r="D48" i="3"/>
  <c r="B49" i="3"/>
  <c r="H18" i="3"/>
  <c r="G48" i="3"/>
  <c r="F41" i="3"/>
  <c r="E34" i="3"/>
  <c r="D27" i="3"/>
  <c r="C20" i="3"/>
  <c r="B13" i="3"/>
  <c r="F48" i="3"/>
  <c r="E41" i="3"/>
  <c r="D34" i="3"/>
  <c r="C27" i="3"/>
  <c r="B20" i="3"/>
  <c r="J12" i="3"/>
  <c r="F47" i="3"/>
  <c r="E40" i="3"/>
  <c r="D33" i="3"/>
  <c r="C26" i="3"/>
  <c r="B19" i="3"/>
  <c r="G53" i="3"/>
  <c r="F46" i="3"/>
  <c r="E39" i="3"/>
  <c r="D32" i="3"/>
  <c r="C25" i="3"/>
  <c r="D47" i="3"/>
  <c r="C40" i="3"/>
  <c r="B33" i="3"/>
  <c r="J25" i="3"/>
  <c r="I18" i="3"/>
  <c r="H11" i="3"/>
  <c r="F52" i="3"/>
  <c r="E45" i="3"/>
  <c r="D38" i="3"/>
  <c r="C31" i="3"/>
  <c r="B24" i="3"/>
  <c r="J16" i="3"/>
  <c r="I9" i="3"/>
  <c r="J46" i="3"/>
  <c r="E20" i="3"/>
  <c r="H49" i="3"/>
  <c r="F22" i="3"/>
  <c r="G49" i="3"/>
  <c r="F10" i="3"/>
  <c r="F27" i="3"/>
  <c r="J30" i="3"/>
  <c r="H9" i="3"/>
  <c r="G33" i="3"/>
  <c r="F11" i="3"/>
  <c r="I32" i="3"/>
  <c r="E11" i="3"/>
  <c r="E44" i="3"/>
  <c r="C30" i="3"/>
  <c r="I39" i="3"/>
  <c r="J38" i="3"/>
  <c r="D52" i="3"/>
  <c r="F26" i="3"/>
  <c r="G26" i="3"/>
  <c r="G24" i="3"/>
  <c r="H38" i="3"/>
  <c r="I44" i="3"/>
  <c r="H51" i="3"/>
  <c r="J37" i="3"/>
  <c r="J44" i="3"/>
  <c r="B51" i="3"/>
  <c r="B29" i="3"/>
  <c r="D50" i="3"/>
  <c r="I21" i="3"/>
  <c r="D49" i="3"/>
  <c r="I20" i="3"/>
  <c r="C41" i="3"/>
  <c r="J41" i="3"/>
  <c r="C47" i="3"/>
  <c r="H47" i="3"/>
  <c r="G40" i="3"/>
  <c r="F33" i="3"/>
  <c r="E26" i="3"/>
  <c r="D19" i="3"/>
  <c r="C12" i="3"/>
  <c r="G47" i="3"/>
  <c r="F40" i="3"/>
  <c r="E33" i="3"/>
  <c r="D26" i="3"/>
  <c r="C19" i="3"/>
  <c r="B12" i="3"/>
  <c r="H53" i="3"/>
  <c r="G46" i="3"/>
  <c r="F39" i="3"/>
  <c r="E32" i="3"/>
  <c r="D25" i="3"/>
  <c r="C18" i="3"/>
  <c r="H52" i="3"/>
  <c r="G45" i="3"/>
  <c r="F38" i="3"/>
  <c r="F53" i="3"/>
  <c r="E46" i="3"/>
  <c r="D39" i="3"/>
  <c r="C32" i="3"/>
  <c r="B25" i="3"/>
  <c r="J17" i="3"/>
  <c r="I10" i="3"/>
  <c r="G51" i="3"/>
  <c r="F44" i="3"/>
  <c r="E37" i="3"/>
  <c r="D30" i="3"/>
  <c r="C23" i="3"/>
  <c r="B16" i="3"/>
  <c r="E43" i="3"/>
  <c r="B18" i="3"/>
  <c r="C46" i="3"/>
  <c r="D20" i="3"/>
  <c r="F42" i="3"/>
  <c r="E52" i="3"/>
  <c r="D24" i="3"/>
  <c r="E27" i="3"/>
  <c r="B30" i="3"/>
  <c r="C9" i="3"/>
  <c r="I8" i="3"/>
  <c r="J18" i="3"/>
</calcChain>
</file>

<file path=xl/sharedStrings.xml><?xml version="1.0" encoding="utf-8"?>
<sst xmlns="http://schemas.openxmlformats.org/spreadsheetml/2006/main" count="474" uniqueCount="155">
  <si>
    <t>Student ID</t>
  </si>
  <si>
    <t>Name</t>
  </si>
  <si>
    <t>Office</t>
  </si>
  <si>
    <t>Country</t>
  </si>
  <si>
    <t>Course</t>
  </si>
  <si>
    <t xml:space="preserve">Institution </t>
  </si>
  <si>
    <t>Intake</t>
  </si>
  <si>
    <t>Enquiry Date</t>
  </si>
  <si>
    <t>Status</t>
  </si>
  <si>
    <t>Docs Complete</t>
  </si>
  <si>
    <t>Missing Documents</t>
  </si>
  <si>
    <t>Next Deadline</t>
  </si>
  <si>
    <t>Days to Deadline</t>
  </si>
  <si>
    <t>Priority</t>
  </si>
  <si>
    <t>Owner</t>
  </si>
  <si>
    <t>Action</t>
  </si>
  <si>
    <t>Enquiry</t>
  </si>
  <si>
    <t>Documents</t>
  </si>
  <si>
    <t>Applied</t>
  </si>
  <si>
    <t>Offer</t>
  </si>
  <si>
    <t>Visa</t>
  </si>
  <si>
    <t>Arrived</t>
  </si>
  <si>
    <t>Withdrawn</t>
  </si>
  <si>
    <t>Dublin</t>
  </si>
  <si>
    <t>Abuja</t>
  </si>
  <si>
    <t>Y</t>
  </si>
  <si>
    <t>N</t>
  </si>
  <si>
    <t>Test Student</t>
  </si>
  <si>
    <t>Action List: overdue or due this week</t>
  </si>
  <si>
    <t>#</t>
  </si>
  <si>
    <t>Days Left</t>
  </si>
  <si>
    <t>Chioma Obi</t>
  </si>
  <si>
    <t>Kenya</t>
  </si>
  <si>
    <t>MBA</t>
  </si>
  <si>
    <t>Griffith College</t>
  </si>
  <si>
    <t>Sept 2026</t>
  </si>
  <si>
    <t>Kelechi Bello</t>
  </si>
  <si>
    <t>Nigeria</t>
  </si>
  <si>
    <t>Sept 2027</t>
  </si>
  <si>
    <t>Emeka Balogun</t>
  </si>
  <si>
    <t>MEng Electronic and Computer Engineering</t>
  </si>
  <si>
    <t>Dublin City University</t>
  </si>
  <si>
    <t>Jan 2027</t>
  </si>
  <si>
    <t>Tunde Adeyemi</t>
  </si>
  <si>
    <t>MEng Mechanical Engineering</t>
  </si>
  <si>
    <t>University of Limerick</t>
  </si>
  <si>
    <t>Transcript, English test, Passport</t>
  </si>
  <si>
    <t>Segun Olawale</t>
  </si>
  <si>
    <t>MSc Computing</t>
  </si>
  <si>
    <t>Personal statement, Passport</t>
  </si>
  <si>
    <t>Blessing Adebayo</t>
  </si>
  <si>
    <t>Proof of funds</t>
  </si>
  <si>
    <t>Femi Okafor</t>
  </si>
  <si>
    <t>English test, Personal statement</t>
  </si>
  <si>
    <t>Blessing Mensah</t>
  </si>
  <si>
    <t>MSc Software Engineering</t>
  </si>
  <si>
    <t>TU Dublin</t>
  </si>
  <si>
    <t>Transcript, English test</t>
  </si>
  <si>
    <t>Amaka Ibe</t>
  </si>
  <si>
    <t>MSc Data Analytics</t>
  </si>
  <si>
    <t>Daniel Nwosu</t>
  </si>
  <si>
    <t>MSc Business Analytics</t>
  </si>
  <si>
    <t>University of Galway</t>
  </si>
  <si>
    <t>Reference letter</t>
  </si>
  <si>
    <t>Hauwa Asante</t>
  </si>
  <si>
    <t>Bola Ogunleye</t>
  </si>
  <si>
    <t>English test</t>
  </si>
  <si>
    <t>Ama Ibe</t>
  </si>
  <si>
    <t>Degree certificate, English test, Reference letter</t>
  </si>
  <si>
    <t>Zainab Okoro</t>
  </si>
  <si>
    <t>MSc Project Management</t>
  </si>
  <si>
    <t>Personal statement</t>
  </si>
  <si>
    <t>Ngozi Adeyemi</t>
  </si>
  <si>
    <t>Ghana</t>
  </si>
  <si>
    <t>Grace Bello</t>
  </si>
  <si>
    <t>Wanjiru Asante</t>
  </si>
  <si>
    <t>Zainab Adeyemi</t>
  </si>
  <si>
    <t>Proof of funds, Reference letter</t>
  </si>
  <si>
    <t>Kofi Danjuma</t>
  </si>
  <si>
    <t>Chidi Asante</t>
  </si>
  <si>
    <t>Uche Adeyemi</t>
  </si>
  <si>
    <t>Ahmed Balogun</t>
  </si>
  <si>
    <t>Ama Owusu</t>
  </si>
  <si>
    <t>Daniel Abubakar</t>
  </si>
  <si>
    <t>Ahmed Okafor</t>
  </si>
  <si>
    <t>Reference letter, Proof of funds</t>
  </si>
  <si>
    <t>Emeka Asante</t>
  </si>
  <si>
    <t>Personal statement, English test</t>
  </si>
  <si>
    <t>Kelechi Kamau</t>
  </si>
  <si>
    <t>Emeka Nwosu</t>
  </si>
  <si>
    <t>Ibrahim Okoro</t>
  </si>
  <si>
    <t>Ada Asante</t>
  </si>
  <si>
    <t>Kwame Chukwu</t>
  </si>
  <si>
    <t>Degree certificate, English test, Personal statement</t>
  </si>
  <si>
    <t>Musa Adeyemi</t>
  </si>
  <si>
    <t>Wanjiru Chukwu</t>
  </si>
  <si>
    <t>Chidi Olawale</t>
  </si>
  <si>
    <t>Joy Adebayo</t>
  </si>
  <si>
    <t>Wanjiru Danjuma</t>
  </si>
  <si>
    <t>MSc Public Health</t>
  </si>
  <si>
    <t>University College Cork</t>
  </si>
  <si>
    <t>Ibrahim Eze</t>
  </si>
  <si>
    <t>Passport</t>
  </si>
  <si>
    <t>Uche Danjuma</t>
  </si>
  <si>
    <t>Proof of funds, English test</t>
  </si>
  <si>
    <t>Tobi Adeyemi</t>
  </si>
  <si>
    <t>Reference letter, Degree certificate, English test</t>
  </si>
  <si>
    <t>Tunde Adebayo</t>
  </si>
  <si>
    <t>STU-001</t>
  </si>
  <si>
    <t>STU-002</t>
  </si>
  <si>
    <t>STU-003</t>
  </si>
  <si>
    <t>STU-004</t>
  </si>
  <si>
    <t>STU-005</t>
  </si>
  <si>
    <t>STU-006</t>
  </si>
  <si>
    <t>STU-007</t>
  </si>
  <si>
    <t>STU-008</t>
  </si>
  <si>
    <t>STU-009</t>
  </si>
  <si>
    <t>STU-010</t>
  </si>
  <si>
    <t>STU-011</t>
  </si>
  <si>
    <t>STU-012</t>
  </si>
  <si>
    <t>STU-013</t>
  </si>
  <si>
    <t>STU-014</t>
  </si>
  <si>
    <t>STU-015</t>
  </si>
  <si>
    <t>STU-016</t>
  </si>
  <si>
    <t>STU-017</t>
  </si>
  <si>
    <t>STU-018</t>
  </si>
  <si>
    <t>STU-019</t>
  </si>
  <si>
    <t>STU-020</t>
  </si>
  <si>
    <t>STU-021</t>
  </si>
  <si>
    <t>STU-022</t>
  </si>
  <si>
    <t>STU-023</t>
  </si>
  <si>
    <t>STU-024</t>
  </si>
  <si>
    <t>STU-025</t>
  </si>
  <si>
    <t>STU-026</t>
  </si>
  <si>
    <t>STU-027</t>
  </si>
  <si>
    <t>STU-028</t>
  </si>
  <si>
    <t>STU-029</t>
  </si>
  <si>
    <t>STU-030</t>
  </si>
  <si>
    <t>STU-031</t>
  </si>
  <si>
    <t>STU-032</t>
  </si>
  <si>
    <t>STU-033</t>
  </si>
  <si>
    <t>STU-034</t>
  </si>
  <si>
    <t>STU-035</t>
  </si>
  <si>
    <t>STU-036</t>
  </si>
  <si>
    <t>STU-037</t>
  </si>
  <si>
    <t>STU-038</t>
  </si>
  <si>
    <t>STU-039</t>
  </si>
  <si>
    <t>STU-040</t>
  </si>
  <si>
    <t>STU-041</t>
  </si>
  <si>
    <t>Advisor 1</t>
  </si>
  <si>
    <t>Advisor 2</t>
  </si>
  <si>
    <t xml:space="preserve">Advisor 3 </t>
  </si>
  <si>
    <t>Advisor 3</t>
  </si>
  <si>
    <t>Student Application Tracker – Prototype</t>
  </si>
  <si>
    <t>This is a prototype built with fictional sample data. All names, IDs, dates and staff are made up. It contains no real student or company information.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</si>
</sst>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wrapText="1"/>
    </xf>
    <xf numFmtId="14" fontId="1" fillId="2" borderId="0" xfId="0" applyNumberFormat="1" applyFont="1" applyFill="1" applyAlignment="1">
      <alignment wrapText="1"/>
    </xf>
    <xf numFmtId="14" fontId="0" fillId="0" borderId="0" xfId="0" applyNumberFormat="1"/>
    <xf numFmtId="17" fontId="0" fillId="0" borderId="0" xfId="0" applyNumberFormat="1"/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13">
    <dxf>
      <font>
        <b/>
        <i val="0"/>
        <color rgb="FFC00000"/>
      </font>
      <fill>
        <patternFill>
          <bgColor rgb="FFFF7C8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theme="0" tint="-0.34998626667073579"/>
      </font>
    </dxf>
    <dxf>
      <font>
        <b/>
        <i val="0"/>
        <color rgb="FFC00000"/>
      </font>
      <fill>
        <patternFill>
          <bgColor rgb="FFFF7C8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theme="0" tint="-0.34998626667073579"/>
      </font>
    </dxf>
    <dxf>
      <font>
        <b val="0"/>
        <i/>
        <color theme="0" tint="-0.499984740745262"/>
      </font>
    </dxf>
    <dxf>
      <font>
        <b/>
        <i val="0"/>
        <color rgb="FFC00000"/>
      </font>
      <fill>
        <patternFill>
          <bgColor rgb="FFFF7C8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theme="0" tint="-0.34998626667073579"/>
      </font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D11" sqref="D11"/>
    </sheetView>
  </sheetViews>
  <sheetFormatPr defaultRowHeight="14.5" x14ac:dyDescent="0.35"/>
  <sheetData>
    <row r="1" spans="1:1" ht="18.5" x14ac:dyDescent="0.45">
      <c r="A1" s="5" t="s">
        <v>153</v>
      </c>
    </row>
    <row r="3" spans="1:1" x14ac:dyDescent="0.35">
      <c r="A3" t="s">
        <v>154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R10" sqref="R10"/>
    </sheetView>
  </sheetViews>
  <sheetFormatPr defaultRowHeight="14.5" x14ac:dyDescent="0.35"/>
  <cols>
    <col min="1" max="4" width="14.6328125" customWidth="1"/>
    <col min="5" max="5" width="38.6328125" customWidth="1"/>
    <col min="6" max="6" width="28.6328125" customWidth="1"/>
    <col min="7" max="7" width="14.6328125" customWidth="1"/>
    <col min="8" max="8" width="14.6328125" style="3" customWidth="1"/>
    <col min="9" max="10" width="14.6328125" customWidth="1"/>
    <col min="11" max="11" width="30.6328125" customWidth="1"/>
    <col min="12" max="12" width="14.6328125" style="3" customWidth="1"/>
    <col min="13" max="16" width="14.6328125" customWidth="1"/>
  </cols>
  <sheetData>
    <row r="1" spans="1:16" s="1" customFormat="1" ht="29" x14ac:dyDescent="0.3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108</v>
      </c>
      <c r="B2" t="s">
        <v>27</v>
      </c>
      <c r="I2" t="s">
        <v>18</v>
      </c>
      <c r="L2" s="3">
        <v>46285</v>
      </c>
      <c r="M2">
        <f ca="1">IF(OR(L2="",I2="Arrived",I2="Withdrawn"),"",L2-TODAY())</f>
        <v>-6</v>
      </c>
      <c r="N2" t="str">
        <f ca="1">IF(A2="","",IF(OR(I2="Arrived",I2="Withdrawn"),"Closed",IF(M2="","No deadline",IF(M2&lt;0,"Overdue",IF(M2&lt;=7,"Due this week",IF(M2&lt;=14,"Due soon","On track"))))))</f>
        <v>Overdue</v>
      </c>
      <c r="P2">
        <f ca="1">IF(OR(N2="Overdue",N2="Due this week"),COUNTIF(N$2:N2,"Overdue")+COUNTIF(N$2:N2,"Due this week"),"")</f>
        <v>1</v>
      </c>
    </row>
    <row r="3" spans="1:16" x14ac:dyDescent="0.35">
      <c r="A3" t="s">
        <v>109</v>
      </c>
      <c r="B3" t="s">
        <v>31</v>
      </c>
      <c r="C3" t="s">
        <v>32</v>
      </c>
      <c r="D3" t="s">
        <v>23</v>
      </c>
      <c r="E3" t="s">
        <v>33</v>
      </c>
      <c r="F3" t="s">
        <v>34</v>
      </c>
      <c r="G3" t="s">
        <v>35</v>
      </c>
      <c r="H3" s="3">
        <v>46056</v>
      </c>
      <c r="I3" t="s">
        <v>21</v>
      </c>
      <c r="J3" t="s">
        <v>25</v>
      </c>
      <c r="M3" t="str">
        <f t="shared" ref="M3:M66" ca="1" si="0">IF(OR(L3="",I3="Arrived",I3="Withdrawn"),"",L3-TODAY())</f>
        <v/>
      </c>
      <c r="N3" t="str">
        <f t="shared" ref="N3:N66" si="1">IF(A3="","",IF(OR(I3="Arrived",I3="Withdrawn"),"Closed",IF(M3="","No deadline",IF(M3&lt;0,"Overdue",IF(M3&lt;=7,"Due this week",IF(M3&lt;=14,"Due soon","On track"))))))</f>
        <v>Closed</v>
      </c>
      <c r="O3" t="s">
        <v>152</v>
      </c>
      <c r="P3" t="str">
        <f>IF(OR(N3="Overdue",N3="Due this week"),COUNTIF(N$2:N3,"Overdue")+COUNTIF(N$2:N3,"Due this week"),"")</f>
        <v/>
      </c>
    </row>
    <row r="4" spans="1:16" x14ac:dyDescent="0.35">
      <c r="A4" t="s">
        <v>110</v>
      </c>
      <c r="B4" t="s">
        <v>36</v>
      </c>
      <c r="C4" t="s">
        <v>37</v>
      </c>
      <c r="D4" t="s">
        <v>24</v>
      </c>
      <c r="E4" t="s">
        <v>33</v>
      </c>
      <c r="F4" t="s">
        <v>34</v>
      </c>
      <c r="G4" t="s">
        <v>38</v>
      </c>
      <c r="H4" s="3">
        <v>46160</v>
      </c>
      <c r="I4" t="s">
        <v>20</v>
      </c>
      <c r="J4" t="s">
        <v>25</v>
      </c>
      <c r="L4" s="3">
        <v>46318</v>
      </c>
      <c r="M4">
        <f t="shared" ca="1" si="0"/>
        <v>27</v>
      </c>
      <c r="N4" t="str">
        <f t="shared" ca="1" si="1"/>
        <v>On track</v>
      </c>
      <c r="O4" t="s">
        <v>150</v>
      </c>
      <c r="P4" t="str">
        <f ca="1">IF(OR(N4="Overdue",N4="Due this week"),COUNTIF(N$2:N4,"Overdue")+COUNTIF(N$2:N4,"Due this week"),"")</f>
        <v/>
      </c>
    </row>
    <row r="5" spans="1:16" x14ac:dyDescent="0.35">
      <c r="A5" t="s">
        <v>111</v>
      </c>
      <c r="B5" t="s">
        <v>39</v>
      </c>
      <c r="C5" t="s">
        <v>37</v>
      </c>
      <c r="D5" t="s">
        <v>23</v>
      </c>
      <c r="E5" t="s">
        <v>40</v>
      </c>
      <c r="F5" t="s">
        <v>41</v>
      </c>
      <c r="G5" t="s">
        <v>42</v>
      </c>
      <c r="H5" s="3">
        <v>46271</v>
      </c>
      <c r="I5" t="s">
        <v>19</v>
      </c>
      <c r="J5" t="s">
        <v>25</v>
      </c>
      <c r="L5" s="3">
        <v>46307</v>
      </c>
      <c r="M5">
        <f t="shared" ca="1" si="0"/>
        <v>16</v>
      </c>
      <c r="N5" t="str">
        <f t="shared" ca="1" si="1"/>
        <v>On track</v>
      </c>
      <c r="O5" t="s">
        <v>152</v>
      </c>
      <c r="P5" t="str">
        <f ca="1">IF(OR(N5="Overdue",N5="Due this week"),COUNTIF(N$2:N5,"Overdue")+COUNTIF(N$2:N5,"Due this week"),"")</f>
        <v/>
      </c>
    </row>
    <row r="6" spans="1:16" x14ac:dyDescent="0.35">
      <c r="A6" t="s">
        <v>112</v>
      </c>
      <c r="B6" t="s">
        <v>43</v>
      </c>
      <c r="C6" t="s">
        <v>37</v>
      </c>
      <c r="D6" t="s">
        <v>23</v>
      </c>
      <c r="E6" t="s">
        <v>44</v>
      </c>
      <c r="F6" t="s">
        <v>45</v>
      </c>
      <c r="G6" t="s">
        <v>42</v>
      </c>
      <c r="H6" s="3">
        <v>46215</v>
      </c>
      <c r="I6" t="s">
        <v>16</v>
      </c>
      <c r="J6" t="s">
        <v>26</v>
      </c>
      <c r="K6" t="s">
        <v>46</v>
      </c>
      <c r="L6" s="3">
        <v>46316</v>
      </c>
      <c r="M6">
        <f t="shared" ca="1" si="0"/>
        <v>25</v>
      </c>
      <c r="N6" t="str">
        <f t="shared" ca="1" si="1"/>
        <v>On track</v>
      </c>
      <c r="O6" t="s">
        <v>152</v>
      </c>
      <c r="P6" t="str">
        <f ca="1">IF(OR(N6="Overdue",N6="Due this week"),COUNTIF(N$2:N6,"Overdue")+COUNTIF(N$2:N6,"Due this week"),"")</f>
        <v/>
      </c>
    </row>
    <row r="7" spans="1:16" x14ac:dyDescent="0.35">
      <c r="A7" t="s">
        <v>113</v>
      </c>
      <c r="B7" t="s">
        <v>47</v>
      </c>
      <c r="C7" t="s">
        <v>37</v>
      </c>
      <c r="D7" t="s">
        <v>23</v>
      </c>
      <c r="E7" t="s">
        <v>48</v>
      </c>
      <c r="F7" t="s">
        <v>41</v>
      </c>
      <c r="G7" t="s">
        <v>42</v>
      </c>
      <c r="H7" s="3">
        <v>46209</v>
      </c>
      <c r="I7" t="s">
        <v>16</v>
      </c>
      <c r="J7" t="s">
        <v>26</v>
      </c>
      <c r="K7" t="s">
        <v>49</v>
      </c>
      <c r="L7" s="3">
        <v>46314</v>
      </c>
      <c r="M7">
        <f t="shared" ca="1" si="0"/>
        <v>23</v>
      </c>
      <c r="N7" t="str">
        <f t="shared" ca="1" si="1"/>
        <v>On track</v>
      </c>
      <c r="O7" t="s">
        <v>150</v>
      </c>
      <c r="P7" t="str">
        <f ca="1">IF(OR(N7="Overdue",N7="Due this week"),COUNTIF(N$2:N7,"Overdue")+COUNTIF(N$2:N7,"Due this week"),"")</f>
        <v/>
      </c>
    </row>
    <row r="8" spans="1:16" x14ac:dyDescent="0.35">
      <c r="A8" t="s">
        <v>114</v>
      </c>
      <c r="B8" t="s">
        <v>50</v>
      </c>
      <c r="C8" t="s">
        <v>37</v>
      </c>
      <c r="D8" t="s">
        <v>24</v>
      </c>
      <c r="E8" t="s">
        <v>40</v>
      </c>
      <c r="F8" t="s">
        <v>41</v>
      </c>
      <c r="G8" t="s">
        <v>42</v>
      </c>
      <c r="H8" s="3">
        <v>46257</v>
      </c>
      <c r="I8" t="s">
        <v>18</v>
      </c>
      <c r="J8" t="s">
        <v>26</v>
      </c>
      <c r="K8" t="s">
        <v>51</v>
      </c>
      <c r="L8" s="3">
        <v>46285</v>
      </c>
      <c r="M8">
        <f t="shared" ca="1" si="0"/>
        <v>-6</v>
      </c>
      <c r="N8" t="str">
        <f t="shared" ca="1" si="1"/>
        <v>Overdue</v>
      </c>
      <c r="O8" t="s">
        <v>149</v>
      </c>
      <c r="P8">
        <f ca="1">IF(OR(N8="Overdue",N8="Due this week"),COUNTIF(N$2:N8,"Overdue")+COUNTIF(N$2:N8,"Due this week"),"")</f>
        <v>2</v>
      </c>
    </row>
    <row r="9" spans="1:16" x14ac:dyDescent="0.35">
      <c r="A9" t="s">
        <v>115</v>
      </c>
      <c r="B9" t="s">
        <v>52</v>
      </c>
      <c r="C9" t="s">
        <v>37</v>
      </c>
      <c r="D9" t="s">
        <v>23</v>
      </c>
      <c r="E9" t="s">
        <v>40</v>
      </c>
      <c r="F9" t="s">
        <v>41</v>
      </c>
      <c r="G9" t="s">
        <v>42</v>
      </c>
      <c r="H9" s="3">
        <v>46113</v>
      </c>
      <c r="I9" t="s">
        <v>17</v>
      </c>
      <c r="J9" t="s">
        <v>26</v>
      </c>
      <c r="K9" t="s">
        <v>53</v>
      </c>
      <c r="L9" s="3">
        <v>46305</v>
      </c>
      <c r="M9">
        <f t="shared" ca="1" si="0"/>
        <v>14</v>
      </c>
      <c r="N9" t="str">
        <f t="shared" ca="1" si="1"/>
        <v>Due soon</v>
      </c>
      <c r="O9" t="s">
        <v>149</v>
      </c>
      <c r="P9" t="str">
        <f ca="1">IF(OR(N9="Overdue",N9="Due this week"),COUNTIF(N$2:N9,"Overdue")+COUNTIF(N$2:N9,"Due this week"),"")</f>
        <v/>
      </c>
    </row>
    <row r="10" spans="1:16" x14ac:dyDescent="0.35">
      <c r="A10" t="s">
        <v>116</v>
      </c>
      <c r="B10" t="s">
        <v>54</v>
      </c>
      <c r="C10" t="s">
        <v>37</v>
      </c>
      <c r="D10" t="s">
        <v>23</v>
      </c>
      <c r="E10" t="s">
        <v>55</v>
      </c>
      <c r="F10" t="s">
        <v>56</v>
      </c>
      <c r="G10" t="s">
        <v>42</v>
      </c>
      <c r="H10" s="3">
        <v>46249</v>
      </c>
      <c r="I10" t="s">
        <v>17</v>
      </c>
      <c r="J10" t="s">
        <v>26</v>
      </c>
      <c r="K10" t="s">
        <v>57</v>
      </c>
      <c r="L10" s="3">
        <v>46287</v>
      </c>
      <c r="M10">
        <f t="shared" ca="1" si="0"/>
        <v>-4</v>
      </c>
      <c r="N10" t="str">
        <f t="shared" ca="1" si="1"/>
        <v>Overdue</v>
      </c>
      <c r="O10" t="s">
        <v>149</v>
      </c>
      <c r="P10">
        <f ca="1">IF(OR(N10="Overdue",N10="Due this week"),COUNTIF(N$2:N10,"Overdue")+COUNTIF(N$2:N10,"Due this week"),"")</f>
        <v>3</v>
      </c>
    </row>
    <row r="11" spans="1:16" x14ac:dyDescent="0.35">
      <c r="A11" t="s">
        <v>117</v>
      </c>
      <c r="B11" t="s">
        <v>58</v>
      </c>
      <c r="C11" t="s">
        <v>37</v>
      </c>
      <c r="D11" t="s">
        <v>24</v>
      </c>
      <c r="E11" t="s">
        <v>59</v>
      </c>
      <c r="F11" t="s">
        <v>45</v>
      </c>
      <c r="G11" t="s">
        <v>38</v>
      </c>
      <c r="H11" s="3">
        <v>46144</v>
      </c>
      <c r="I11" t="s">
        <v>20</v>
      </c>
      <c r="J11" t="s">
        <v>25</v>
      </c>
      <c r="L11" s="3">
        <v>46314</v>
      </c>
      <c r="M11">
        <f t="shared" ca="1" si="0"/>
        <v>23</v>
      </c>
      <c r="N11" t="str">
        <f t="shared" ca="1" si="1"/>
        <v>On track</v>
      </c>
      <c r="O11" t="s">
        <v>149</v>
      </c>
      <c r="P11" t="str">
        <f ca="1">IF(OR(N11="Overdue",N11="Due this week"),COUNTIF(N$2:N11,"Overdue")+COUNTIF(N$2:N11,"Due this week"),"")</f>
        <v/>
      </c>
    </row>
    <row r="12" spans="1:16" x14ac:dyDescent="0.35">
      <c r="A12" t="s">
        <v>118</v>
      </c>
      <c r="B12" t="s">
        <v>60</v>
      </c>
      <c r="C12" t="s">
        <v>37</v>
      </c>
      <c r="D12" t="s">
        <v>23</v>
      </c>
      <c r="E12" t="s">
        <v>61</v>
      </c>
      <c r="F12" t="s">
        <v>62</v>
      </c>
      <c r="G12" t="s">
        <v>42</v>
      </c>
      <c r="H12" s="3">
        <v>46197</v>
      </c>
      <c r="I12" t="s">
        <v>18</v>
      </c>
      <c r="J12" t="s">
        <v>26</v>
      </c>
      <c r="K12" t="s">
        <v>63</v>
      </c>
      <c r="L12" s="3">
        <v>46279</v>
      </c>
      <c r="M12">
        <f t="shared" ca="1" si="0"/>
        <v>-12</v>
      </c>
      <c r="N12" t="str">
        <f t="shared" ca="1" si="1"/>
        <v>Overdue</v>
      </c>
      <c r="O12" t="s">
        <v>149</v>
      </c>
      <c r="P12">
        <f ca="1">IF(OR(N12="Overdue",N12="Due this week"),COUNTIF(N$2:N12,"Overdue")+COUNTIF(N$2:N12,"Due this week"),"")</f>
        <v>4</v>
      </c>
    </row>
    <row r="13" spans="1:16" x14ac:dyDescent="0.35">
      <c r="A13" t="s">
        <v>119</v>
      </c>
      <c r="B13" t="s">
        <v>64</v>
      </c>
      <c r="C13" t="s">
        <v>37</v>
      </c>
      <c r="D13" t="s">
        <v>24</v>
      </c>
      <c r="E13" t="s">
        <v>48</v>
      </c>
      <c r="F13" t="s">
        <v>41</v>
      </c>
      <c r="G13" t="s">
        <v>42</v>
      </c>
      <c r="H13" s="3">
        <v>46077</v>
      </c>
      <c r="I13" t="s">
        <v>19</v>
      </c>
      <c r="J13" t="s">
        <v>26</v>
      </c>
      <c r="K13" t="s">
        <v>51</v>
      </c>
      <c r="L13" s="3">
        <v>46307</v>
      </c>
      <c r="M13">
        <f t="shared" ca="1" si="0"/>
        <v>16</v>
      </c>
      <c r="N13" t="str">
        <f t="shared" ca="1" si="1"/>
        <v>On track</v>
      </c>
      <c r="O13" t="s">
        <v>152</v>
      </c>
      <c r="P13" t="str">
        <f ca="1">IF(OR(N13="Overdue",N13="Due this week"),COUNTIF(N$2:N13,"Overdue")+COUNTIF(N$2:N13,"Due this week"),"")</f>
        <v/>
      </c>
    </row>
    <row r="14" spans="1:16" x14ac:dyDescent="0.35">
      <c r="A14" t="s">
        <v>120</v>
      </c>
      <c r="B14" t="s">
        <v>65</v>
      </c>
      <c r="C14" t="s">
        <v>37</v>
      </c>
      <c r="D14" t="s">
        <v>23</v>
      </c>
      <c r="E14" t="s">
        <v>48</v>
      </c>
      <c r="F14" t="s">
        <v>41</v>
      </c>
      <c r="G14" t="s">
        <v>38</v>
      </c>
      <c r="H14" s="3">
        <v>46180</v>
      </c>
      <c r="I14" t="s">
        <v>18</v>
      </c>
      <c r="J14" t="s">
        <v>26</v>
      </c>
      <c r="K14" t="s">
        <v>66</v>
      </c>
      <c r="L14" s="3">
        <v>46294</v>
      </c>
      <c r="M14">
        <f t="shared" ca="1" si="0"/>
        <v>3</v>
      </c>
      <c r="N14" t="str">
        <f t="shared" ca="1" si="1"/>
        <v>Due this week</v>
      </c>
      <c r="O14" t="s">
        <v>150</v>
      </c>
      <c r="P14">
        <f ca="1">IF(OR(N14="Overdue",N14="Due this week"),COUNTIF(N$2:N14,"Overdue")+COUNTIF(N$2:N14,"Due this week"),"")</f>
        <v>5</v>
      </c>
    </row>
    <row r="15" spans="1:16" x14ac:dyDescent="0.35">
      <c r="A15" t="s">
        <v>121</v>
      </c>
      <c r="B15" t="s">
        <v>67</v>
      </c>
      <c r="C15" t="s">
        <v>37</v>
      </c>
      <c r="D15" t="s">
        <v>24</v>
      </c>
      <c r="E15" t="s">
        <v>33</v>
      </c>
      <c r="F15" t="s">
        <v>34</v>
      </c>
      <c r="G15" t="s">
        <v>38</v>
      </c>
      <c r="H15" s="3">
        <v>46065</v>
      </c>
      <c r="I15" t="s">
        <v>16</v>
      </c>
      <c r="J15" t="s">
        <v>26</v>
      </c>
      <c r="K15" t="s">
        <v>68</v>
      </c>
      <c r="L15" s="3">
        <v>46288</v>
      </c>
      <c r="M15">
        <f t="shared" ca="1" si="0"/>
        <v>-3</v>
      </c>
      <c r="N15" t="str">
        <f t="shared" ca="1" si="1"/>
        <v>Overdue</v>
      </c>
      <c r="O15" t="s">
        <v>152</v>
      </c>
      <c r="P15">
        <f ca="1">IF(OR(N15="Overdue",N15="Due this week"),COUNTIF(N$2:N15,"Overdue")+COUNTIF(N$2:N15,"Due this week"),"")</f>
        <v>6</v>
      </c>
    </row>
    <row r="16" spans="1:16" x14ac:dyDescent="0.35">
      <c r="A16" t="s">
        <v>122</v>
      </c>
      <c r="B16" t="s">
        <v>69</v>
      </c>
      <c r="C16" t="s">
        <v>37</v>
      </c>
      <c r="D16" t="s">
        <v>24</v>
      </c>
      <c r="E16" t="s">
        <v>70</v>
      </c>
      <c r="F16" t="s">
        <v>56</v>
      </c>
      <c r="G16" t="s">
        <v>42</v>
      </c>
      <c r="H16" s="3">
        <v>46262</v>
      </c>
      <c r="I16" t="s">
        <v>17</v>
      </c>
      <c r="J16" t="s">
        <v>26</v>
      </c>
      <c r="K16" t="s">
        <v>71</v>
      </c>
      <c r="L16" s="3">
        <v>46309</v>
      </c>
      <c r="M16">
        <f t="shared" ca="1" si="0"/>
        <v>18</v>
      </c>
      <c r="N16" t="str">
        <f t="shared" ca="1" si="1"/>
        <v>On track</v>
      </c>
      <c r="O16" t="s">
        <v>149</v>
      </c>
      <c r="P16" t="str">
        <f ca="1">IF(OR(N16="Overdue",N16="Due this week"),COUNTIF(N$2:N16,"Overdue")+COUNTIF(N$2:N16,"Due this week"),"")</f>
        <v/>
      </c>
    </row>
    <row r="17" spans="1:16" x14ac:dyDescent="0.35">
      <c r="A17" t="s">
        <v>123</v>
      </c>
      <c r="B17" t="s">
        <v>72</v>
      </c>
      <c r="C17" t="s">
        <v>73</v>
      </c>
      <c r="D17" t="s">
        <v>23</v>
      </c>
      <c r="E17" t="s">
        <v>55</v>
      </c>
      <c r="F17" t="s">
        <v>56</v>
      </c>
      <c r="G17" t="s">
        <v>42</v>
      </c>
      <c r="H17" s="3">
        <v>46149</v>
      </c>
      <c r="I17" t="s">
        <v>18</v>
      </c>
      <c r="J17" t="s">
        <v>26</v>
      </c>
      <c r="K17" t="s">
        <v>66</v>
      </c>
      <c r="L17" s="3">
        <v>46295</v>
      </c>
      <c r="M17">
        <f t="shared" ca="1" si="0"/>
        <v>4</v>
      </c>
      <c r="N17" t="str">
        <f t="shared" ca="1" si="1"/>
        <v>Due this week</v>
      </c>
      <c r="O17" t="s">
        <v>150</v>
      </c>
      <c r="P17">
        <f ca="1">IF(OR(N17="Overdue",N17="Due this week"),COUNTIF(N$2:N17,"Overdue")+COUNTIF(N$2:N17,"Due this week"),"")</f>
        <v>7</v>
      </c>
    </row>
    <row r="18" spans="1:16" x14ac:dyDescent="0.35">
      <c r="A18" t="s">
        <v>124</v>
      </c>
      <c r="B18" t="s">
        <v>74</v>
      </c>
      <c r="C18" t="s">
        <v>37</v>
      </c>
      <c r="D18" t="s">
        <v>24</v>
      </c>
      <c r="E18" t="s">
        <v>48</v>
      </c>
      <c r="F18" t="s">
        <v>41</v>
      </c>
      <c r="G18" t="s">
        <v>35</v>
      </c>
      <c r="H18" s="3">
        <v>46152</v>
      </c>
      <c r="I18" t="s">
        <v>21</v>
      </c>
      <c r="J18" t="s">
        <v>25</v>
      </c>
      <c r="M18" t="str">
        <f t="shared" ca="1" si="0"/>
        <v/>
      </c>
      <c r="N18" t="str">
        <f t="shared" si="1"/>
        <v>Closed</v>
      </c>
      <c r="O18" t="s">
        <v>152</v>
      </c>
      <c r="P18" t="str">
        <f>IF(OR(N18="Overdue",N18="Due this week"),COUNTIF(N$2:N18,"Overdue")+COUNTIF(N$2:N18,"Due this week"),"")</f>
        <v/>
      </c>
    </row>
    <row r="19" spans="1:16" x14ac:dyDescent="0.35">
      <c r="A19" t="s">
        <v>125</v>
      </c>
      <c r="B19" t="s">
        <v>75</v>
      </c>
      <c r="C19" t="s">
        <v>37</v>
      </c>
      <c r="D19" t="s">
        <v>24</v>
      </c>
      <c r="E19" t="s">
        <v>55</v>
      </c>
      <c r="F19" t="s">
        <v>56</v>
      </c>
      <c r="G19" t="s">
        <v>38</v>
      </c>
      <c r="H19" s="3">
        <v>46169</v>
      </c>
      <c r="I19" t="s">
        <v>19</v>
      </c>
      <c r="J19" t="s">
        <v>26</v>
      </c>
      <c r="K19" t="s">
        <v>51</v>
      </c>
      <c r="L19" s="3">
        <v>46280</v>
      </c>
      <c r="M19">
        <f t="shared" ca="1" si="0"/>
        <v>-11</v>
      </c>
      <c r="N19" t="str">
        <f t="shared" ca="1" si="1"/>
        <v>Overdue</v>
      </c>
      <c r="O19" t="s">
        <v>150</v>
      </c>
      <c r="P19">
        <f ca="1">IF(OR(N19="Overdue",N19="Due this week"),COUNTIF(N$2:N19,"Overdue")+COUNTIF(N$2:N19,"Due this week"),"")</f>
        <v>8</v>
      </c>
    </row>
    <row r="20" spans="1:16" x14ac:dyDescent="0.35">
      <c r="A20" t="s">
        <v>126</v>
      </c>
      <c r="B20" t="s">
        <v>76</v>
      </c>
      <c r="C20" t="s">
        <v>37</v>
      </c>
      <c r="D20" t="s">
        <v>24</v>
      </c>
      <c r="E20" t="s">
        <v>55</v>
      </c>
      <c r="F20" t="s">
        <v>56</v>
      </c>
      <c r="G20" t="s">
        <v>42</v>
      </c>
      <c r="H20" s="3">
        <v>46159</v>
      </c>
      <c r="I20" t="s">
        <v>16</v>
      </c>
      <c r="J20" t="s">
        <v>26</v>
      </c>
      <c r="K20" t="s">
        <v>77</v>
      </c>
      <c r="L20" s="3">
        <v>46284</v>
      </c>
      <c r="M20">
        <f t="shared" ca="1" si="0"/>
        <v>-7</v>
      </c>
      <c r="N20" t="str">
        <f t="shared" ca="1" si="1"/>
        <v>Overdue</v>
      </c>
      <c r="O20" t="s">
        <v>150</v>
      </c>
      <c r="P20">
        <f ca="1">IF(OR(N20="Overdue",N20="Due this week"),COUNTIF(N$2:N20,"Overdue")+COUNTIF(N$2:N20,"Due this week"),"")</f>
        <v>9</v>
      </c>
    </row>
    <row r="21" spans="1:16" x14ac:dyDescent="0.35">
      <c r="A21" t="s">
        <v>127</v>
      </c>
      <c r="B21" t="s">
        <v>78</v>
      </c>
      <c r="C21" t="s">
        <v>37</v>
      </c>
      <c r="D21" t="s">
        <v>23</v>
      </c>
      <c r="E21" t="s">
        <v>59</v>
      </c>
      <c r="F21" t="s">
        <v>45</v>
      </c>
      <c r="G21" t="s">
        <v>42</v>
      </c>
      <c r="H21" s="3">
        <v>46195</v>
      </c>
      <c r="I21" t="s">
        <v>19</v>
      </c>
      <c r="J21" t="s">
        <v>25</v>
      </c>
      <c r="L21" s="3">
        <v>46309</v>
      </c>
      <c r="M21">
        <f t="shared" ca="1" si="0"/>
        <v>18</v>
      </c>
      <c r="N21" t="str">
        <f t="shared" ca="1" si="1"/>
        <v>On track</v>
      </c>
      <c r="O21" t="s">
        <v>149</v>
      </c>
      <c r="P21" t="str">
        <f ca="1">IF(OR(N21="Overdue",N21="Due this week"),COUNTIF(N$2:N21,"Overdue")+COUNTIF(N$2:N21,"Due this week"),"")</f>
        <v/>
      </c>
    </row>
    <row r="22" spans="1:16" x14ac:dyDescent="0.35">
      <c r="A22" t="s">
        <v>128</v>
      </c>
      <c r="B22" t="s">
        <v>79</v>
      </c>
      <c r="C22" t="s">
        <v>37</v>
      </c>
      <c r="D22" t="s">
        <v>24</v>
      </c>
      <c r="E22" t="s">
        <v>33</v>
      </c>
      <c r="F22" t="s">
        <v>34</v>
      </c>
      <c r="G22" t="s">
        <v>42</v>
      </c>
      <c r="H22" s="3">
        <v>46159</v>
      </c>
      <c r="I22" t="s">
        <v>19</v>
      </c>
      <c r="J22" t="s">
        <v>26</v>
      </c>
      <c r="K22" t="s">
        <v>63</v>
      </c>
      <c r="L22" s="3">
        <v>46287</v>
      </c>
      <c r="M22">
        <f t="shared" ca="1" si="0"/>
        <v>-4</v>
      </c>
      <c r="N22" t="str">
        <f t="shared" ca="1" si="1"/>
        <v>Overdue</v>
      </c>
      <c r="O22" t="s">
        <v>152</v>
      </c>
      <c r="P22">
        <f ca="1">IF(OR(N22="Overdue",N22="Due this week"),COUNTIF(N$2:N22,"Overdue")+COUNTIF(N$2:N22,"Due this week"),"")</f>
        <v>10</v>
      </c>
    </row>
    <row r="23" spans="1:16" x14ac:dyDescent="0.35">
      <c r="A23" t="s">
        <v>129</v>
      </c>
      <c r="B23" t="s">
        <v>80</v>
      </c>
      <c r="C23" t="s">
        <v>37</v>
      </c>
      <c r="D23" t="s">
        <v>24</v>
      </c>
      <c r="E23" t="s">
        <v>59</v>
      </c>
      <c r="F23" t="s">
        <v>45</v>
      </c>
      <c r="G23" t="s">
        <v>35</v>
      </c>
      <c r="H23" s="3">
        <v>46253</v>
      </c>
      <c r="I23" t="s">
        <v>21</v>
      </c>
      <c r="J23" t="s">
        <v>25</v>
      </c>
      <c r="M23" t="str">
        <f t="shared" ca="1" si="0"/>
        <v/>
      </c>
      <c r="N23" t="str">
        <f t="shared" si="1"/>
        <v>Closed</v>
      </c>
      <c r="O23" t="s">
        <v>152</v>
      </c>
      <c r="P23" t="str">
        <f>IF(OR(N23="Overdue",N23="Due this week"),COUNTIF(N$2:N23,"Overdue")+COUNTIF(N$2:N23,"Due this week"),"")</f>
        <v/>
      </c>
    </row>
    <row r="24" spans="1:16" x14ac:dyDescent="0.35">
      <c r="A24" t="s">
        <v>130</v>
      </c>
      <c r="B24" t="s">
        <v>81</v>
      </c>
      <c r="C24" t="s">
        <v>37</v>
      </c>
      <c r="D24" t="s">
        <v>24</v>
      </c>
      <c r="E24" t="s">
        <v>61</v>
      </c>
      <c r="F24" t="s">
        <v>62</v>
      </c>
      <c r="G24" t="s">
        <v>35</v>
      </c>
      <c r="H24" s="3">
        <v>46128</v>
      </c>
      <c r="I24" t="s">
        <v>21</v>
      </c>
      <c r="J24" t="s">
        <v>25</v>
      </c>
      <c r="M24" t="str">
        <f t="shared" ca="1" si="0"/>
        <v/>
      </c>
      <c r="N24" t="str">
        <f t="shared" si="1"/>
        <v>Closed</v>
      </c>
      <c r="O24" t="s">
        <v>149</v>
      </c>
      <c r="P24" t="str">
        <f>IF(OR(N24="Overdue",N24="Due this week"),COUNTIF(N$2:N24,"Overdue")+COUNTIF(N$2:N24,"Due this week"),"")</f>
        <v/>
      </c>
    </row>
    <row r="25" spans="1:16" x14ac:dyDescent="0.35">
      <c r="A25" t="s">
        <v>131</v>
      </c>
      <c r="B25" t="s">
        <v>82</v>
      </c>
      <c r="C25" t="s">
        <v>37</v>
      </c>
      <c r="D25" t="s">
        <v>24</v>
      </c>
      <c r="E25" t="s">
        <v>40</v>
      </c>
      <c r="F25" t="s">
        <v>41</v>
      </c>
      <c r="G25" t="s">
        <v>42</v>
      </c>
      <c r="H25" s="3">
        <v>46049</v>
      </c>
      <c r="I25" t="s">
        <v>18</v>
      </c>
      <c r="J25" t="s">
        <v>25</v>
      </c>
      <c r="L25" s="3">
        <v>46284</v>
      </c>
      <c r="M25">
        <f t="shared" ca="1" si="0"/>
        <v>-7</v>
      </c>
      <c r="N25" t="str">
        <f t="shared" ca="1" si="1"/>
        <v>Overdue</v>
      </c>
      <c r="O25" t="s">
        <v>150</v>
      </c>
      <c r="P25">
        <f ca="1">IF(OR(N25="Overdue",N25="Due this week"),COUNTIF(N$2:N25,"Overdue")+COUNTIF(N$2:N25,"Due this week"),"")</f>
        <v>11</v>
      </c>
    </row>
    <row r="26" spans="1:16" x14ac:dyDescent="0.35">
      <c r="A26" t="s">
        <v>132</v>
      </c>
      <c r="B26" t="s">
        <v>83</v>
      </c>
      <c r="C26" t="s">
        <v>37</v>
      </c>
      <c r="D26" t="s">
        <v>24</v>
      </c>
      <c r="E26" t="s">
        <v>33</v>
      </c>
      <c r="F26" t="s">
        <v>34</v>
      </c>
      <c r="G26" t="s">
        <v>38</v>
      </c>
      <c r="H26" s="3">
        <v>46121</v>
      </c>
      <c r="I26" t="s">
        <v>18</v>
      </c>
      <c r="J26" t="s">
        <v>25</v>
      </c>
      <c r="L26" s="3">
        <v>46284</v>
      </c>
      <c r="M26">
        <f t="shared" ca="1" si="0"/>
        <v>-7</v>
      </c>
      <c r="N26" t="str">
        <f t="shared" ca="1" si="1"/>
        <v>Overdue</v>
      </c>
      <c r="O26" t="s">
        <v>149</v>
      </c>
      <c r="P26">
        <f ca="1">IF(OR(N26="Overdue",N26="Due this week"),COUNTIF(N$2:N26,"Overdue")+COUNTIF(N$2:N26,"Due this week"),"")</f>
        <v>12</v>
      </c>
    </row>
    <row r="27" spans="1:16" x14ac:dyDescent="0.35">
      <c r="A27" t="s">
        <v>133</v>
      </c>
      <c r="B27" t="s">
        <v>84</v>
      </c>
      <c r="C27" t="s">
        <v>37</v>
      </c>
      <c r="D27" t="s">
        <v>24</v>
      </c>
      <c r="E27" t="s">
        <v>48</v>
      </c>
      <c r="F27" t="s">
        <v>41</v>
      </c>
      <c r="G27" t="s">
        <v>38</v>
      </c>
      <c r="H27" s="3">
        <v>46180</v>
      </c>
      <c r="I27" t="s">
        <v>17</v>
      </c>
      <c r="J27" t="s">
        <v>26</v>
      </c>
      <c r="K27" t="s">
        <v>85</v>
      </c>
      <c r="L27" s="3">
        <v>46310</v>
      </c>
      <c r="M27">
        <f t="shared" ca="1" si="0"/>
        <v>19</v>
      </c>
      <c r="N27" t="str">
        <f t="shared" ca="1" si="1"/>
        <v>On track</v>
      </c>
      <c r="O27" t="s">
        <v>150</v>
      </c>
      <c r="P27" t="str">
        <f ca="1">IF(OR(N27="Overdue",N27="Due this week"),COUNTIF(N$2:N27,"Overdue")+COUNTIF(N$2:N27,"Due this week"),"")</f>
        <v/>
      </c>
    </row>
    <row r="28" spans="1:16" x14ac:dyDescent="0.35">
      <c r="A28" t="s">
        <v>134</v>
      </c>
      <c r="B28" t="s">
        <v>86</v>
      </c>
      <c r="C28" t="s">
        <v>37</v>
      </c>
      <c r="D28" t="s">
        <v>24</v>
      </c>
      <c r="E28" t="s">
        <v>59</v>
      </c>
      <c r="F28" t="s">
        <v>45</v>
      </c>
      <c r="G28" t="s">
        <v>42</v>
      </c>
      <c r="H28" s="3">
        <v>46104</v>
      </c>
      <c r="I28" t="s">
        <v>17</v>
      </c>
      <c r="J28" t="s">
        <v>26</v>
      </c>
      <c r="K28" t="s">
        <v>87</v>
      </c>
      <c r="L28" s="3">
        <v>46294</v>
      </c>
      <c r="M28">
        <f t="shared" ca="1" si="0"/>
        <v>3</v>
      </c>
      <c r="N28" t="str">
        <f t="shared" ca="1" si="1"/>
        <v>Due this week</v>
      </c>
      <c r="O28" t="s">
        <v>150</v>
      </c>
      <c r="P28">
        <f ca="1">IF(OR(N28="Overdue",N28="Due this week"),COUNTIF(N$2:N28,"Overdue")+COUNTIF(N$2:N28,"Due this week"),"")</f>
        <v>13</v>
      </c>
    </row>
    <row r="29" spans="1:16" x14ac:dyDescent="0.35">
      <c r="A29" t="s">
        <v>135</v>
      </c>
      <c r="B29" t="s">
        <v>88</v>
      </c>
      <c r="C29" t="s">
        <v>37</v>
      </c>
      <c r="D29" t="s">
        <v>23</v>
      </c>
      <c r="E29" t="s">
        <v>44</v>
      </c>
      <c r="F29" t="s">
        <v>45</v>
      </c>
      <c r="G29" t="s">
        <v>42</v>
      </c>
      <c r="H29" s="3">
        <v>46193</v>
      </c>
      <c r="I29" t="s">
        <v>20</v>
      </c>
      <c r="J29" t="s">
        <v>25</v>
      </c>
      <c r="L29" s="3">
        <v>46303</v>
      </c>
      <c r="M29">
        <f t="shared" ca="1" si="0"/>
        <v>12</v>
      </c>
      <c r="N29" t="str">
        <f t="shared" ca="1" si="1"/>
        <v>Due soon</v>
      </c>
      <c r="O29" t="s">
        <v>149</v>
      </c>
      <c r="P29" t="str">
        <f ca="1">IF(OR(N29="Overdue",N29="Due this week"),COUNTIF(N$2:N29,"Overdue")+COUNTIF(N$2:N29,"Due this week"),"")</f>
        <v/>
      </c>
    </row>
    <row r="30" spans="1:16" x14ac:dyDescent="0.35">
      <c r="A30" t="s">
        <v>136</v>
      </c>
      <c r="B30" t="s">
        <v>89</v>
      </c>
      <c r="C30" t="s">
        <v>37</v>
      </c>
      <c r="D30" t="s">
        <v>24</v>
      </c>
      <c r="E30" t="s">
        <v>40</v>
      </c>
      <c r="F30" t="s">
        <v>41</v>
      </c>
      <c r="G30" t="s">
        <v>42</v>
      </c>
      <c r="H30" s="3">
        <v>46154</v>
      </c>
      <c r="I30" t="s">
        <v>18</v>
      </c>
      <c r="J30" t="s">
        <v>25</v>
      </c>
      <c r="L30" s="3">
        <v>46289</v>
      </c>
      <c r="M30">
        <f t="shared" ca="1" si="0"/>
        <v>-2</v>
      </c>
      <c r="N30" t="str">
        <f t="shared" ca="1" si="1"/>
        <v>Overdue</v>
      </c>
      <c r="O30" t="s">
        <v>150</v>
      </c>
      <c r="P30">
        <f ca="1">IF(OR(N30="Overdue",N30="Due this week"),COUNTIF(N$2:N30,"Overdue")+COUNTIF(N$2:N30,"Due this week"),"")</f>
        <v>14</v>
      </c>
    </row>
    <row r="31" spans="1:16" x14ac:dyDescent="0.35">
      <c r="A31" t="s">
        <v>137</v>
      </c>
      <c r="B31" t="s">
        <v>90</v>
      </c>
      <c r="C31" t="s">
        <v>32</v>
      </c>
      <c r="D31" t="s">
        <v>23</v>
      </c>
      <c r="E31" t="s">
        <v>61</v>
      </c>
      <c r="F31" t="s">
        <v>62</v>
      </c>
      <c r="G31" t="s">
        <v>35</v>
      </c>
      <c r="H31" s="3">
        <v>46194</v>
      </c>
      <c r="I31" t="s">
        <v>21</v>
      </c>
      <c r="J31" t="s">
        <v>25</v>
      </c>
      <c r="M31" t="str">
        <f t="shared" ca="1" si="0"/>
        <v/>
      </c>
      <c r="N31" t="str">
        <f t="shared" si="1"/>
        <v>Closed</v>
      </c>
      <c r="O31" t="s">
        <v>152</v>
      </c>
      <c r="P31" t="str">
        <f>IF(OR(N31="Overdue",N31="Due this week"),COUNTIF(N$2:N31,"Overdue")+COUNTIF(N$2:N31,"Due this week"),"")</f>
        <v/>
      </c>
    </row>
    <row r="32" spans="1:16" x14ac:dyDescent="0.35">
      <c r="A32" t="s">
        <v>138</v>
      </c>
      <c r="B32" t="s">
        <v>91</v>
      </c>
      <c r="C32" t="s">
        <v>37</v>
      </c>
      <c r="D32" t="s">
        <v>23</v>
      </c>
      <c r="E32" t="s">
        <v>48</v>
      </c>
      <c r="F32" t="s">
        <v>41</v>
      </c>
      <c r="G32" t="s">
        <v>42</v>
      </c>
      <c r="H32" s="3">
        <v>46093</v>
      </c>
      <c r="I32" t="s">
        <v>18</v>
      </c>
      <c r="J32" t="s">
        <v>25</v>
      </c>
      <c r="L32" s="3">
        <v>46317</v>
      </c>
      <c r="M32">
        <f t="shared" ca="1" si="0"/>
        <v>26</v>
      </c>
      <c r="N32" t="str">
        <f t="shared" ca="1" si="1"/>
        <v>On track</v>
      </c>
      <c r="O32" t="s">
        <v>150</v>
      </c>
      <c r="P32" t="str">
        <f ca="1">IF(OR(N32="Overdue",N32="Due this week"),COUNTIF(N$2:N32,"Overdue")+COUNTIF(N$2:N32,"Due this week"),"")</f>
        <v/>
      </c>
    </row>
    <row r="33" spans="1:16" x14ac:dyDescent="0.35">
      <c r="A33" t="s">
        <v>139</v>
      </c>
      <c r="B33" t="s">
        <v>92</v>
      </c>
      <c r="C33" t="s">
        <v>37</v>
      </c>
      <c r="D33" t="s">
        <v>24</v>
      </c>
      <c r="E33" t="s">
        <v>40</v>
      </c>
      <c r="F33" t="s">
        <v>41</v>
      </c>
      <c r="G33" t="s">
        <v>42</v>
      </c>
      <c r="H33" s="3">
        <v>46075</v>
      </c>
      <c r="I33" t="s">
        <v>17</v>
      </c>
      <c r="J33" t="s">
        <v>26</v>
      </c>
      <c r="K33" t="s">
        <v>93</v>
      </c>
      <c r="L33" s="3">
        <v>46280</v>
      </c>
      <c r="M33">
        <f t="shared" ca="1" si="0"/>
        <v>-11</v>
      </c>
      <c r="N33" t="str">
        <f t="shared" ca="1" si="1"/>
        <v>Overdue</v>
      </c>
      <c r="O33" t="s">
        <v>149</v>
      </c>
      <c r="P33">
        <f ca="1">IF(OR(N33="Overdue",N33="Due this week"),COUNTIF(N$2:N33,"Overdue")+COUNTIF(N$2:N33,"Due this week"),"")</f>
        <v>15</v>
      </c>
    </row>
    <row r="34" spans="1:16" x14ac:dyDescent="0.35">
      <c r="A34" t="s">
        <v>140</v>
      </c>
      <c r="B34" t="s">
        <v>94</v>
      </c>
      <c r="C34" t="s">
        <v>37</v>
      </c>
      <c r="D34" t="s">
        <v>23</v>
      </c>
      <c r="E34" t="s">
        <v>48</v>
      </c>
      <c r="F34" t="s">
        <v>41</v>
      </c>
      <c r="G34" t="s">
        <v>42</v>
      </c>
      <c r="H34" s="3">
        <v>46137</v>
      </c>
      <c r="I34" t="s">
        <v>22</v>
      </c>
      <c r="J34" t="s">
        <v>25</v>
      </c>
      <c r="M34" t="str">
        <f t="shared" ca="1" si="0"/>
        <v/>
      </c>
      <c r="N34" t="str">
        <f t="shared" si="1"/>
        <v>Closed</v>
      </c>
      <c r="O34" t="s">
        <v>152</v>
      </c>
      <c r="P34" t="str">
        <f>IF(OR(N34="Overdue",N34="Due this week"),COUNTIF(N$2:N34,"Overdue")+COUNTIF(N$2:N34,"Due this week"),"")</f>
        <v/>
      </c>
    </row>
    <row r="35" spans="1:16" x14ac:dyDescent="0.35">
      <c r="A35" t="s">
        <v>141</v>
      </c>
      <c r="B35" t="s">
        <v>95</v>
      </c>
      <c r="C35" t="s">
        <v>32</v>
      </c>
      <c r="D35" t="s">
        <v>24</v>
      </c>
      <c r="E35" t="s">
        <v>44</v>
      </c>
      <c r="F35" t="s">
        <v>45</v>
      </c>
      <c r="G35" t="s">
        <v>42</v>
      </c>
      <c r="H35" s="3">
        <v>46229</v>
      </c>
      <c r="I35" t="s">
        <v>22</v>
      </c>
      <c r="J35" t="s">
        <v>25</v>
      </c>
      <c r="M35" t="str">
        <f t="shared" ca="1" si="0"/>
        <v/>
      </c>
      <c r="N35" t="str">
        <f t="shared" si="1"/>
        <v>Closed</v>
      </c>
      <c r="O35" t="s">
        <v>152</v>
      </c>
      <c r="P35" t="str">
        <f>IF(OR(N35="Overdue",N35="Due this week"),COUNTIF(N$2:N35,"Overdue")+COUNTIF(N$2:N35,"Due this week"),"")</f>
        <v/>
      </c>
    </row>
    <row r="36" spans="1:16" x14ac:dyDescent="0.35">
      <c r="A36" t="s">
        <v>142</v>
      </c>
      <c r="B36" t="s">
        <v>96</v>
      </c>
      <c r="C36" t="s">
        <v>37</v>
      </c>
      <c r="D36" t="s">
        <v>24</v>
      </c>
      <c r="E36" t="s">
        <v>40</v>
      </c>
      <c r="F36" t="s">
        <v>41</v>
      </c>
      <c r="G36" t="s">
        <v>42</v>
      </c>
      <c r="H36" s="3">
        <v>46057</v>
      </c>
      <c r="I36" t="s">
        <v>19</v>
      </c>
      <c r="J36" t="s">
        <v>26</v>
      </c>
      <c r="K36" t="s">
        <v>63</v>
      </c>
      <c r="L36" s="3">
        <v>46313</v>
      </c>
      <c r="M36">
        <f t="shared" ca="1" si="0"/>
        <v>22</v>
      </c>
      <c r="N36" t="str">
        <f t="shared" ca="1" si="1"/>
        <v>On track</v>
      </c>
      <c r="O36" t="s">
        <v>152</v>
      </c>
      <c r="P36" t="str">
        <f ca="1">IF(OR(N36="Overdue",N36="Due this week"),COUNTIF(N$2:N36,"Overdue")+COUNTIF(N$2:N36,"Due this week"),"")</f>
        <v/>
      </c>
    </row>
    <row r="37" spans="1:16" x14ac:dyDescent="0.35">
      <c r="A37" t="s">
        <v>143</v>
      </c>
      <c r="B37" t="s">
        <v>97</v>
      </c>
      <c r="C37" t="s">
        <v>37</v>
      </c>
      <c r="D37" t="s">
        <v>24</v>
      </c>
      <c r="E37" t="s">
        <v>61</v>
      </c>
      <c r="F37" t="s">
        <v>62</v>
      </c>
      <c r="G37" t="s">
        <v>42</v>
      </c>
      <c r="H37" s="3">
        <v>46134</v>
      </c>
      <c r="I37" t="s">
        <v>16</v>
      </c>
      <c r="J37" t="s">
        <v>26</v>
      </c>
      <c r="K37" t="s">
        <v>66</v>
      </c>
      <c r="L37" s="3">
        <v>46291</v>
      </c>
      <c r="M37">
        <f t="shared" ca="1" si="0"/>
        <v>0</v>
      </c>
      <c r="N37" t="str">
        <f t="shared" ca="1" si="1"/>
        <v>Due this week</v>
      </c>
      <c r="O37" t="s">
        <v>152</v>
      </c>
      <c r="P37">
        <f ca="1">IF(OR(N37="Overdue",N37="Due this week"),COUNTIF(N$2:N37,"Overdue")+COUNTIF(N$2:N37,"Due this week"),"")</f>
        <v>16</v>
      </c>
    </row>
    <row r="38" spans="1:16" x14ac:dyDescent="0.35">
      <c r="A38" t="s">
        <v>144</v>
      </c>
      <c r="B38" t="s">
        <v>98</v>
      </c>
      <c r="C38" t="s">
        <v>37</v>
      </c>
      <c r="D38" t="s">
        <v>24</v>
      </c>
      <c r="E38" t="s">
        <v>99</v>
      </c>
      <c r="F38" t="s">
        <v>100</v>
      </c>
      <c r="G38" t="s">
        <v>42</v>
      </c>
      <c r="H38" s="3">
        <v>46090</v>
      </c>
      <c r="I38" t="s">
        <v>20</v>
      </c>
      <c r="J38" t="s">
        <v>25</v>
      </c>
      <c r="L38" s="3">
        <v>46299</v>
      </c>
      <c r="M38">
        <f t="shared" ca="1" si="0"/>
        <v>8</v>
      </c>
      <c r="N38" t="str">
        <f t="shared" ca="1" si="1"/>
        <v>Due soon</v>
      </c>
      <c r="O38" t="s">
        <v>152</v>
      </c>
      <c r="P38" t="str">
        <f ca="1">IF(OR(N38="Overdue",N38="Due this week"),COUNTIF(N$2:N38,"Overdue")+COUNTIF(N$2:N38,"Due this week"),"")</f>
        <v/>
      </c>
    </row>
    <row r="39" spans="1:16" x14ac:dyDescent="0.35">
      <c r="A39" t="s">
        <v>145</v>
      </c>
      <c r="B39" t="s">
        <v>101</v>
      </c>
      <c r="C39" t="s">
        <v>37</v>
      </c>
      <c r="D39" t="s">
        <v>24</v>
      </c>
      <c r="E39" t="s">
        <v>61</v>
      </c>
      <c r="F39" t="s">
        <v>62</v>
      </c>
      <c r="G39" t="s">
        <v>38</v>
      </c>
      <c r="H39" s="3">
        <v>46091</v>
      </c>
      <c r="I39" t="s">
        <v>17</v>
      </c>
      <c r="J39" t="s">
        <v>26</v>
      </c>
      <c r="K39" t="s">
        <v>102</v>
      </c>
      <c r="L39" s="3">
        <v>46329</v>
      </c>
      <c r="M39">
        <f t="shared" ca="1" si="0"/>
        <v>38</v>
      </c>
      <c r="N39" t="str">
        <f t="shared" ca="1" si="1"/>
        <v>On track</v>
      </c>
      <c r="O39" t="s">
        <v>149</v>
      </c>
      <c r="P39" t="str">
        <f ca="1">IF(OR(N39="Overdue",N39="Due this week"),COUNTIF(N$2:N39,"Overdue")+COUNTIF(N$2:N39,"Due this week"),"")</f>
        <v/>
      </c>
    </row>
    <row r="40" spans="1:16" x14ac:dyDescent="0.35">
      <c r="A40" t="s">
        <v>146</v>
      </c>
      <c r="B40" t="s">
        <v>103</v>
      </c>
      <c r="C40" t="s">
        <v>37</v>
      </c>
      <c r="D40" t="s">
        <v>24</v>
      </c>
      <c r="E40" t="s">
        <v>33</v>
      </c>
      <c r="F40" t="s">
        <v>34</v>
      </c>
      <c r="G40" t="s">
        <v>42</v>
      </c>
      <c r="H40" s="3">
        <v>46067</v>
      </c>
      <c r="I40" t="s">
        <v>16</v>
      </c>
      <c r="J40" t="s">
        <v>26</v>
      </c>
      <c r="K40" t="s">
        <v>104</v>
      </c>
      <c r="L40" s="3">
        <v>46310</v>
      </c>
      <c r="M40">
        <f t="shared" ca="1" si="0"/>
        <v>19</v>
      </c>
      <c r="N40" t="str">
        <f t="shared" ca="1" si="1"/>
        <v>On track</v>
      </c>
      <c r="O40" t="s">
        <v>149</v>
      </c>
      <c r="P40" t="str">
        <f ca="1">IF(OR(N40="Overdue",N40="Due this week"),COUNTIF(N$2:N40,"Overdue")+COUNTIF(N$2:N40,"Due this week"),"")</f>
        <v/>
      </c>
    </row>
    <row r="41" spans="1:16" x14ac:dyDescent="0.35">
      <c r="A41" t="s">
        <v>147</v>
      </c>
      <c r="B41" t="s">
        <v>105</v>
      </c>
      <c r="C41" t="s">
        <v>32</v>
      </c>
      <c r="D41" t="s">
        <v>24</v>
      </c>
      <c r="E41" t="s">
        <v>99</v>
      </c>
      <c r="F41" t="s">
        <v>100</v>
      </c>
      <c r="G41" t="s">
        <v>42</v>
      </c>
      <c r="H41" s="3">
        <v>46126</v>
      </c>
      <c r="I41" t="s">
        <v>17</v>
      </c>
      <c r="J41" t="s">
        <v>26</v>
      </c>
      <c r="K41" t="s">
        <v>106</v>
      </c>
      <c r="L41" s="3">
        <v>46312</v>
      </c>
      <c r="M41">
        <f t="shared" ca="1" si="0"/>
        <v>21</v>
      </c>
      <c r="N41" t="str">
        <f t="shared" ca="1" si="1"/>
        <v>On track</v>
      </c>
      <c r="O41" t="s">
        <v>152</v>
      </c>
      <c r="P41" t="str">
        <f ca="1">IF(OR(N41="Overdue",N41="Due this week"),COUNTIF(N$2:N41,"Overdue")+COUNTIF(N$2:N41,"Due this week"),"")</f>
        <v/>
      </c>
    </row>
    <row r="42" spans="1:16" x14ac:dyDescent="0.35">
      <c r="A42" t="s">
        <v>148</v>
      </c>
      <c r="B42" t="s">
        <v>107</v>
      </c>
      <c r="C42" t="s">
        <v>37</v>
      </c>
      <c r="D42" t="s">
        <v>23</v>
      </c>
      <c r="E42" t="s">
        <v>70</v>
      </c>
      <c r="F42" t="s">
        <v>56</v>
      </c>
      <c r="G42" t="s">
        <v>38</v>
      </c>
      <c r="H42" s="3">
        <v>46143</v>
      </c>
      <c r="I42" t="s">
        <v>18</v>
      </c>
      <c r="J42" t="s">
        <v>26</v>
      </c>
      <c r="K42" t="s">
        <v>66</v>
      </c>
      <c r="L42" s="3">
        <v>46319</v>
      </c>
      <c r="M42">
        <f t="shared" ca="1" si="0"/>
        <v>28</v>
      </c>
      <c r="N42" t="str">
        <f t="shared" ca="1" si="1"/>
        <v>On track</v>
      </c>
      <c r="O42" t="s">
        <v>152</v>
      </c>
      <c r="P42" t="str">
        <f ca="1">IF(OR(N42="Overdue",N42="Due this week"),COUNTIF(N$2:N42,"Overdue")+COUNTIF(N$2:N42,"Due this week"),"")</f>
        <v/>
      </c>
    </row>
    <row r="43" spans="1:16" x14ac:dyDescent="0.35">
      <c r="M43" t="str">
        <f t="shared" ca="1" si="0"/>
        <v/>
      </c>
      <c r="N43" t="str">
        <f t="shared" si="1"/>
        <v/>
      </c>
      <c r="P43" t="str">
        <f>IF(OR(N43="Overdue",N43="Due this week"),COUNTIF(N$2:N43,"Overdue")+COUNTIF(N$2:N43,"Due this week"),"")</f>
        <v/>
      </c>
    </row>
    <row r="44" spans="1:16" x14ac:dyDescent="0.35">
      <c r="M44" t="str">
        <f t="shared" ca="1" si="0"/>
        <v/>
      </c>
      <c r="N44" t="str">
        <f t="shared" si="1"/>
        <v/>
      </c>
      <c r="P44" t="str">
        <f>IF(OR(N44="Overdue",N44="Due this week"),COUNTIF(N$2:N44,"Overdue")+COUNTIF(N$2:N44,"Due this week"),"")</f>
        <v/>
      </c>
    </row>
    <row r="45" spans="1:16" x14ac:dyDescent="0.35">
      <c r="M45" t="str">
        <f t="shared" ca="1" si="0"/>
        <v/>
      </c>
      <c r="N45" t="str">
        <f t="shared" si="1"/>
        <v/>
      </c>
      <c r="P45" t="str">
        <f>IF(OR(N45="Overdue",N45="Due this week"),COUNTIF(N$2:N45,"Overdue")+COUNTIF(N$2:N45,"Due this week"),"")</f>
        <v/>
      </c>
    </row>
    <row r="46" spans="1:16" x14ac:dyDescent="0.35">
      <c r="M46" t="str">
        <f t="shared" ca="1" si="0"/>
        <v/>
      </c>
      <c r="N46" t="str">
        <f t="shared" si="1"/>
        <v/>
      </c>
      <c r="P46" t="str">
        <f>IF(OR(N46="Overdue",N46="Due this week"),COUNTIF(N$2:N46,"Overdue")+COUNTIF(N$2:N46,"Due this week"),"")</f>
        <v/>
      </c>
    </row>
    <row r="47" spans="1:16" x14ac:dyDescent="0.35">
      <c r="M47" t="str">
        <f t="shared" ca="1" si="0"/>
        <v/>
      </c>
      <c r="N47" t="str">
        <f t="shared" si="1"/>
        <v/>
      </c>
      <c r="P47" t="str">
        <f>IF(OR(N47="Overdue",N47="Due this week"),COUNTIF(N$2:N47,"Overdue")+COUNTIF(N$2:N47,"Due this week"),"")</f>
        <v/>
      </c>
    </row>
    <row r="48" spans="1:16" x14ac:dyDescent="0.35">
      <c r="M48" t="str">
        <f t="shared" ca="1" si="0"/>
        <v/>
      </c>
      <c r="N48" t="str">
        <f t="shared" si="1"/>
        <v/>
      </c>
      <c r="P48" t="str">
        <f>IF(OR(N48="Overdue",N48="Due this week"),COUNTIF(N$2:N48,"Overdue")+COUNTIF(N$2:N48,"Due this week"),"")</f>
        <v/>
      </c>
    </row>
    <row r="49" spans="13:16" x14ac:dyDescent="0.35">
      <c r="M49" t="str">
        <f t="shared" ca="1" si="0"/>
        <v/>
      </c>
      <c r="N49" t="str">
        <f t="shared" si="1"/>
        <v/>
      </c>
      <c r="P49" t="str">
        <f>IF(OR(N49="Overdue",N49="Due this week"),COUNTIF(N$2:N49,"Overdue")+COUNTIF(N$2:N49,"Due this week"),"")</f>
        <v/>
      </c>
    </row>
    <row r="50" spans="13:16" x14ac:dyDescent="0.35">
      <c r="M50" t="str">
        <f t="shared" ca="1" si="0"/>
        <v/>
      </c>
      <c r="N50" t="str">
        <f t="shared" si="1"/>
        <v/>
      </c>
      <c r="P50" t="str">
        <f>IF(OR(N50="Overdue",N50="Due this week"),COUNTIF(N$2:N50,"Overdue")+COUNTIF(N$2:N50,"Due this week"),"")</f>
        <v/>
      </c>
    </row>
    <row r="51" spans="13:16" x14ac:dyDescent="0.35">
      <c r="M51" t="str">
        <f t="shared" ca="1" si="0"/>
        <v/>
      </c>
      <c r="N51" t="str">
        <f t="shared" si="1"/>
        <v/>
      </c>
      <c r="P51" t="str">
        <f>IF(OR(N51="Overdue",N51="Due this week"),COUNTIF(N$2:N51,"Overdue")+COUNTIF(N$2:N51,"Due this week"),"")</f>
        <v/>
      </c>
    </row>
    <row r="52" spans="13:16" x14ac:dyDescent="0.35">
      <c r="M52" t="str">
        <f t="shared" ca="1" si="0"/>
        <v/>
      </c>
      <c r="N52" t="str">
        <f t="shared" si="1"/>
        <v/>
      </c>
      <c r="P52" t="str">
        <f>IF(OR(N52="Overdue",N52="Due this week"),COUNTIF(N$2:N52,"Overdue")+COUNTIF(N$2:N52,"Due this week"),"")</f>
        <v/>
      </c>
    </row>
    <row r="53" spans="13:16" x14ac:dyDescent="0.35">
      <c r="M53" t="str">
        <f t="shared" ca="1" si="0"/>
        <v/>
      </c>
      <c r="N53" t="str">
        <f t="shared" si="1"/>
        <v/>
      </c>
      <c r="P53" t="str">
        <f>IF(OR(N53="Overdue",N53="Due this week"),COUNTIF(N$2:N53,"Overdue")+COUNTIF(N$2:N53,"Due this week"),"")</f>
        <v/>
      </c>
    </row>
    <row r="54" spans="13:16" x14ac:dyDescent="0.35">
      <c r="M54" t="str">
        <f t="shared" ca="1" si="0"/>
        <v/>
      </c>
      <c r="N54" t="str">
        <f t="shared" si="1"/>
        <v/>
      </c>
      <c r="P54" t="str">
        <f>IF(OR(N54="Overdue",N54="Due this week"),COUNTIF(N$2:N54,"Overdue")+COUNTIF(N$2:N54,"Due this week"),"")</f>
        <v/>
      </c>
    </row>
    <row r="55" spans="13:16" x14ac:dyDescent="0.35">
      <c r="M55" t="str">
        <f t="shared" ca="1" si="0"/>
        <v/>
      </c>
      <c r="N55" t="str">
        <f t="shared" si="1"/>
        <v/>
      </c>
      <c r="P55" t="str">
        <f>IF(OR(N55="Overdue",N55="Due this week"),COUNTIF(N$2:N55,"Overdue")+COUNTIF(N$2:N55,"Due this week"),"")</f>
        <v/>
      </c>
    </row>
    <row r="56" spans="13:16" x14ac:dyDescent="0.35">
      <c r="M56" t="str">
        <f t="shared" ca="1" si="0"/>
        <v/>
      </c>
      <c r="N56" t="str">
        <f t="shared" si="1"/>
        <v/>
      </c>
      <c r="P56" t="str">
        <f>IF(OR(N56="Overdue",N56="Due this week"),COUNTIF(N$2:N56,"Overdue")+COUNTIF(N$2:N56,"Due this week"),"")</f>
        <v/>
      </c>
    </row>
    <row r="57" spans="13:16" x14ac:dyDescent="0.35">
      <c r="M57" t="str">
        <f t="shared" ca="1" si="0"/>
        <v/>
      </c>
      <c r="N57" t="str">
        <f t="shared" si="1"/>
        <v/>
      </c>
      <c r="P57" t="str">
        <f>IF(OR(N57="Overdue",N57="Due this week"),COUNTIF(N$2:N57,"Overdue")+COUNTIF(N$2:N57,"Due this week"),"")</f>
        <v/>
      </c>
    </row>
    <row r="58" spans="13:16" x14ac:dyDescent="0.35">
      <c r="M58" t="str">
        <f t="shared" ca="1" si="0"/>
        <v/>
      </c>
      <c r="N58" t="str">
        <f t="shared" si="1"/>
        <v/>
      </c>
      <c r="P58" t="str">
        <f>IF(OR(N58="Overdue",N58="Due this week"),COUNTIF(N$2:N58,"Overdue")+COUNTIF(N$2:N58,"Due this week"),"")</f>
        <v/>
      </c>
    </row>
    <row r="59" spans="13:16" x14ac:dyDescent="0.35">
      <c r="M59" t="str">
        <f t="shared" ca="1" si="0"/>
        <v/>
      </c>
      <c r="N59" t="str">
        <f t="shared" si="1"/>
        <v/>
      </c>
      <c r="P59" t="str">
        <f>IF(OR(N59="Overdue",N59="Due this week"),COUNTIF(N$2:N59,"Overdue")+COUNTIF(N$2:N59,"Due this week"),"")</f>
        <v/>
      </c>
    </row>
    <row r="60" spans="13:16" x14ac:dyDescent="0.35">
      <c r="M60" t="str">
        <f t="shared" ca="1" si="0"/>
        <v/>
      </c>
      <c r="N60" t="str">
        <f t="shared" si="1"/>
        <v/>
      </c>
      <c r="P60" t="str">
        <f>IF(OR(N60="Overdue",N60="Due this week"),COUNTIF(N$2:N60,"Overdue")+COUNTIF(N$2:N60,"Due this week"),"")</f>
        <v/>
      </c>
    </row>
    <row r="61" spans="13:16" x14ac:dyDescent="0.35">
      <c r="M61" t="str">
        <f t="shared" ca="1" si="0"/>
        <v/>
      </c>
      <c r="N61" t="str">
        <f t="shared" si="1"/>
        <v/>
      </c>
      <c r="P61" t="str">
        <f>IF(OR(N61="Overdue",N61="Due this week"),COUNTIF(N$2:N61,"Overdue")+COUNTIF(N$2:N61,"Due this week"),"")</f>
        <v/>
      </c>
    </row>
    <row r="62" spans="13:16" x14ac:dyDescent="0.35">
      <c r="M62" t="str">
        <f t="shared" ca="1" si="0"/>
        <v/>
      </c>
      <c r="N62" t="str">
        <f t="shared" si="1"/>
        <v/>
      </c>
      <c r="P62" t="str">
        <f>IF(OR(N62="Overdue",N62="Due this week"),COUNTIF(N$2:N62,"Overdue")+COUNTIF(N$2:N62,"Due this week"),"")</f>
        <v/>
      </c>
    </row>
    <row r="63" spans="13:16" x14ac:dyDescent="0.35">
      <c r="M63" t="str">
        <f t="shared" ca="1" si="0"/>
        <v/>
      </c>
      <c r="N63" t="str">
        <f t="shared" si="1"/>
        <v/>
      </c>
      <c r="P63" t="str">
        <f>IF(OR(N63="Overdue",N63="Due this week"),COUNTIF(N$2:N63,"Overdue")+COUNTIF(N$2:N63,"Due this week"),"")</f>
        <v/>
      </c>
    </row>
    <row r="64" spans="13:16" x14ac:dyDescent="0.35">
      <c r="M64" t="str">
        <f t="shared" ca="1" si="0"/>
        <v/>
      </c>
      <c r="N64" t="str">
        <f t="shared" si="1"/>
        <v/>
      </c>
      <c r="P64" t="str">
        <f>IF(OR(N64="Overdue",N64="Due this week"),COUNTIF(N$2:N64,"Overdue")+COUNTIF(N$2:N64,"Due this week"),"")</f>
        <v/>
      </c>
    </row>
    <row r="65" spans="13:16" x14ac:dyDescent="0.35">
      <c r="M65" t="str">
        <f t="shared" ca="1" si="0"/>
        <v/>
      </c>
      <c r="N65" t="str">
        <f t="shared" si="1"/>
        <v/>
      </c>
      <c r="P65" t="str">
        <f>IF(OR(N65="Overdue",N65="Due this week"),COUNTIF(N$2:N65,"Overdue")+COUNTIF(N$2:N65,"Due this week"),"")</f>
        <v/>
      </c>
    </row>
    <row r="66" spans="13:16" x14ac:dyDescent="0.35">
      <c r="M66" t="str">
        <f t="shared" ca="1" si="0"/>
        <v/>
      </c>
      <c r="N66" t="str">
        <f t="shared" si="1"/>
        <v/>
      </c>
      <c r="P66" t="str">
        <f>IF(OR(N66="Overdue",N66="Due this week"),COUNTIF(N$2:N66,"Overdue")+COUNTIF(N$2:N66,"Due this week"),"")</f>
        <v/>
      </c>
    </row>
    <row r="67" spans="13:16" x14ac:dyDescent="0.35">
      <c r="M67" t="str">
        <f t="shared" ref="M67:M130" ca="1" si="2">IF(OR(L67="",I67="Arrived",I67="Withdrawn"),"",L67-TODAY())</f>
        <v/>
      </c>
      <c r="N67" t="str">
        <f t="shared" ref="N67:N130" si="3">IF(A67="","",IF(OR(I67="Arrived",I67="Withdrawn"),"Closed",IF(M67="","No deadline",IF(M67&lt;0,"Overdue",IF(M67&lt;=7,"Due this week",IF(M67&lt;=14,"Due soon","On track"))))))</f>
        <v/>
      </c>
      <c r="P67" t="str">
        <f>IF(OR(N67="Overdue",N67="Due this week"),COUNTIF(N$2:N67,"Overdue")+COUNTIF(N$2:N67,"Due this week"),"")</f>
        <v/>
      </c>
    </row>
    <row r="68" spans="13:16" x14ac:dyDescent="0.35">
      <c r="M68" t="str">
        <f t="shared" ca="1" si="2"/>
        <v/>
      </c>
      <c r="N68" t="str">
        <f t="shared" si="3"/>
        <v/>
      </c>
      <c r="P68" t="str">
        <f>IF(OR(N68="Overdue",N68="Due this week"),COUNTIF(N$2:N68,"Overdue")+COUNTIF(N$2:N68,"Due this week"),"")</f>
        <v/>
      </c>
    </row>
    <row r="69" spans="13:16" x14ac:dyDescent="0.35">
      <c r="M69" t="str">
        <f t="shared" ca="1" si="2"/>
        <v/>
      </c>
      <c r="N69" t="str">
        <f t="shared" si="3"/>
        <v/>
      </c>
      <c r="P69" t="str">
        <f>IF(OR(N69="Overdue",N69="Due this week"),COUNTIF(N$2:N69,"Overdue")+COUNTIF(N$2:N69,"Due this week"),"")</f>
        <v/>
      </c>
    </row>
    <row r="70" spans="13:16" x14ac:dyDescent="0.35">
      <c r="M70" t="str">
        <f t="shared" ca="1" si="2"/>
        <v/>
      </c>
      <c r="N70" t="str">
        <f t="shared" si="3"/>
        <v/>
      </c>
      <c r="P70" t="str">
        <f>IF(OR(N70="Overdue",N70="Due this week"),COUNTIF(N$2:N70,"Overdue")+COUNTIF(N$2:N70,"Due this week"),"")</f>
        <v/>
      </c>
    </row>
    <row r="71" spans="13:16" x14ac:dyDescent="0.35">
      <c r="M71" t="str">
        <f t="shared" ca="1" si="2"/>
        <v/>
      </c>
      <c r="N71" t="str">
        <f t="shared" si="3"/>
        <v/>
      </c>
      <c r="P71" t="str">
        <f>IF(OR(N71="Overdue",N71="Due this week"),COUNTIF(N$2:N71,"Overdue")+COUNTIF(N$2:N71,"Due this week"),"")</f>
        <v/>
      </c>
    </row>
    <row r="72" spans="13:16" x14ac:dyDescent="0.35">
      <c r="M72" t="str">
        <f t="shared" ca="1" si="2"/>
        <v/>
      </c>
      <c r="N72" t="str">
        <f t="shared" si="3"/>
        <v/>
      </c>
      <c r="P72" t="str">
        <f>IF(OR(N72="Overdue",N72="Due this week"),COUNTIF(N$2:N72,"Overdue")+COUNTIF(N$2:N72,"Due this week"),"")</f>
        <v/>
      </c>
    </row>
    <row r="73" spans="13:16" x14ac:dyDescent="0.35">
      <c r="M73" t="str">
        <f t="shared" ca="1" si="2"/>
        <v/>
      </c>
      <c r="N73" t="str">
        <f t="shared" si="3"/>
        <v/>
      </c>
      <c r="P73" t="str">
        <f>IF(OR(N73="Overdue",N73="Due this week"),COUNTIF(N$2:N73,"Overdue")+COUNTIF(N$2:N73,"Due this week"),"")</f>
        <v/>
      </c>
    </row>
    <row r="74" spans="13:16" x14ac:dyDescent="0.35">
      <c r="M74" t="str">
        <f t="shared" ca="1" si="2"/>
        <v/>
      </c>
      <c r="N74" t="str">
        <f t="shared" si="3"/>
        <v/>
      </c>
      <c r="P74" t="str">
        <f>IF(OR(N74="Overdue",N74="Due this week"),COUNTIF(N$2:N74,"Overdue")+COUNTIF(N$2:N74,"Due this week"),"")</f>
        <v/>
      </c>
    </row>
    <row r="75" spans="13:16" x14ac:dyDescent="0.35">
      <c r="M75" t="str">
        <f t="shared" ca="1" si="2"/>
        <v/>
      </c>
      <c r="N75" t="str">
        <f t="shared" si="3"/>
        <v/>
      </c>
      <c r="P75" t="str">
        <f>IF(OR(N75="Overdue",N75="Due this week"),COUNTIF(N$2:N75,"Overdue")+COUNTIF(N$2:N75,"Due this week"),"")</f>
        <v/>
      </c>
    </row>
    <row r="76" spans="13:16" x14ac:dyDescent="0.35">
      <c r="M76" t="str">
        <f t="shared" ca="1" si="2"/>
        <v/>
      </c>
      <c r="N76" t="str">
        <f t="shared" si="3"/>
        <v/>
      </c>
      <c r="P76" t="str">
        <f>IF(OR(N76="Overdue",N76="Due this week"),COUNTIF(N$2:N76,"Overdue")+COUNTIF(N$2:N76,"Due this week"),"")</f>
        <v/>
      </c>
    </row>
    <row r="77" spans="13:16" x14ac:dyDescent="0.35">
      <c r="M77" t="str">
        <f t="shared" ca="1" si="2"/>
        <v/>
      </c>
      <c r="N77" t="str">
        <f t="shared" si="3"/>
        <v/>
      </c>
      <c r="P77" t="str">
        <f>IF(OR(N77="Overdue",N77="Due this week"),COUNTIF(N$2:N77,"Overdue")+COUNTIF(N$2:N77,"Due this week"),"")</f>
        <v/>
      </c>
    </row>
    <row r="78" spans="13:16" x14ac:dyDescent="0.35">
      <c r="M78" t="str">
        <f t="shared" ca="1" si="2"/>
        <v/>
      </c>
      <c r="N78" t="str">
        <f t="shared" si="3"/>
        <v/>
      </c>
      <c r="P78" t="str">
        <f>IF(OR(N78="Overdue",N78="Due this week"),COUNTIF(N$2:N78,"Overdue")+COUNTIF(N$2:N78,"Due this week"),"")</f>
        <v/>
      </c>
    </row>
    <row r="79" spans="13:16" x14ac:dyDescent="0.35">
      <c r="M79" t="str">
        <f t="shared" ca="1" si="2"/>
        <v/>
      </c>
      <c r="N79" t="str">
        <f t="shared" si="3"/>
        <v/>
      </c>
      <c r="P79" t="str">
        <f>IF(OR(N79="Overdue",N79="Due this week"),COUNTIF(N$2:N79,"Overdue")+COUNTIF(N$2:N79,"Due this week"),"")</f>
        <v/>
      </c>
    </row>
    <row r="80" spans="13:16" x14ac:dyDescent="0.35">
      <c r="M80" t="str">
        <f t="shared" ca="1" si="2"/>
        <v/>
      </c>
      <c r="N80" t="str">
        <f t="shared" si="3"/>
        <v/>
      </c>
      <c r="P80" t="str">
        <f>IF(OR(N80="Overdue",N80="Due this week"),COUNTIF(N$2:N80,"Overdue")+COUNTIF(N$2:N80,"Due this week"),"")</f>
        <v/>
      </c>
    </row>
    <row r="81" spans="13:16" x14ac:dyDescent="0.35">
      <c r="M81" t="str">
        <f t="shared" ca="1" si="2"/>
        <v/>
      </c>
      <c r="N81" t="str">
        <f t="shared" si="3"/>
        <v/>
      </c>
      <c r="P81" t="str">
        <f>IF(OR(N81="Overdue",N81="Due this week"),COUNTIF(N$2:N81,"Overdue")+COUNTIF(N$2:N81,"Due this week"),"")</f>
        <v/>
      </c>
    </row>
    <row r="82" spans="13:16" x14ac:dyDescent="0.35">
      <c r="M82" t="str">
        <f t="shared" ca="1" si="2"/>
        <v/>
      </c>
      <c r="N82" t="str">
        <f t="shared" si="3"/>
        <v/>
      </c>
      <c r="P82" t="str">
        <f>IF(OR(N82="Overdue",N82="Due this week"),COUNTIF(N$2:N82,"Overdue")+COUNTIF(N$2:N82,"Due this week"),"")</f>
        <v/>
      </c>
    </row>
    <row r="83" spans="13:16" x14ac:dyDescent="0.35">
      <c r="M83" t="str">
        <f t="shared" ca="1" si="2"/>
        <v/>
      </c>
      <c r="N83" t="str">
        <f t="shared" si="3"/>
        <v/>
      </c>
      <c r="P83" t="str">
        <f>IF(OR(N83="Overdue",N83="Due this week"),COUNTIF(N$2:N83,"Overdue")+COUNTIF(N$2:N83,"Due this week"),"")</f>
        <v/>
      </c>
    </row>
    <row r="84" spans="13:16" x14ac:dyDescent="0.35">
      <c r="M84" t="str">
        <f t="shared" ca="1" si="2"/>
        <v/>
      </c>
      <c r="N84" t="str">
        <f t="shared" si="3"/>
        <v/>
      </c>
      <c r="P84" t="str">
        <f>IF(OR(N84="Overdue",N84="Due this week"),COUNTIF(N$2:N84,"Overdue")+COUNTIF(N$2:N84,"Due this week"),"")</f>
        <v/>
      </c>
    </row>
    <row r="85" spans="13:16" x14ac:dyDescent="0.35">
      <c r="M85" t="str">
        <f t="shared" ca="1" si="2"/>
        <v/>
      </c>
      <c r="N85" t="str">
        <f t="shared" si="3"/>
        <v/>
      </c>
      <c r="P85" t="str">
        <f>IF(OR(N85="Overdue",N85="Due this week"),COUNTIF(N$2:N85,"Overdue")+COUNTIF(N$2:N85,"Due this week"),"")</f>
        <v/>
      </c>
    </row>
    <row r="86" spans="13:16" x14ac:dyDescent="0.35">
      <c r="M86" t="str">
        <f t="shared" ca="1" si="2"/>
        <v/>
      </c>
      <c r="N86" t="str">
        <f t="shared" si="3"/>
        <v/>
      </c>
      <c r="P86" t="str">
        <f>IF(OR(N86="Overdue",N86="Due this week"),COUNTIF(N$2:N86,"Overdue")+COUNTIF(N$2:N86,"Due this week"),"")</f>
        <v/>
      </c>
    </row>
    <row r="87" spans="13:16" x14ac:dyDescent="0.35">
      <c r="M87" t="str">
        <f t="shared" ca="1" si="2"/>
        <v/>
      </c>
      <c r="N87" t="str">
        <f t="shared" si="3"/>
        <v/>
      </c>
      <c r="P87" t="str">
        <f>IF(OR(N87="Overdue",N87="Due this week"),COUNTIF(N$2:N87,"Overdue")+COUNTIF(N$2:N87,"Due this week"),"")</f>
        <v/>
      </c>
    </row>
    <row r="88" spans="13:16" x14ac:dyDescent="0.35">
      <c r="M88" t="str">
        <f t="shared" ca="1" si="2"/>
        <v/>
      </c>
      <c r="N88" t="str">
        <f t="shared" si="3"/>
        <v/>
      </c>
      <c r="P88" t="str">
        <f>IF(OR(N88="Overdue",N88="Due this week"),COUNTIF(N$2:N88,"Overdue")+COUNTIF(N$2:N88,"Due this week"),"")</f>
        <v/>
      </c>
    </row>
    <row r="89" spans="13:16" x14ac:dyDescent="0.35">
      <c r="M89" t="str">
        <f t="shared" ca="1" si="2"/>
        <v/>
      </c>
      <c r="N89" t="str">
        <f t="shared" si="3"/>
        <v/>
      </c>
      <c r="P89" t="str">
        <f>IF(OR(N89="Overdue",N89="Due this week"),COUNTIF(N$2:N89,"Overdue")+COUNTIF(N$2:N89,"Due this week"),"")</f>
        <v/>
      </c>
    </row>
    <row r="90" spans="13:16" x14ac:dyDescent="0.35">
      <c r="M90" t="str">
        <f t="shared" ca="1" si="2"/>
        <v/>
      </c>
      <c r="N90" t="str">
        <f t="shared" si="3"/>
        <v/>
      </c>
      <c r="P90" t="str">
        <f>IF(OR(N90="Overdue",N90="Due this week"),COUNTIF(N$2:N90,"Overdue")+COUNTIF(N$2:N90,"Due this week"),"")</f>
        <v/>
      </c>
    </row>
    <row r="91" spans="13:16" x14ac:dyDescent="0.35">
      <c r="M91" t="str">
        <f t="shared" ca="1" si="2"/>
        <v/>
      </c>
      <c r="N91" t="str">
        <f t="shared" si="3"/>
        <v/>
      </c>
      <c r="P91" t="str">
        <f>IF(OR(N91="Overdue",N91="Due this week"),COUNTIF(N$2:N91,"Overdue")+COUNTIF(N$2:N91,"Due this week"),"")</f>
        <v/>
      </c>
    </row>
    <row r="92" spans="13:16" x14ac:dyDescent="0.35">
      <c r="M92" t="str">
        <f t="shared" ca="1" si="2"/>
        <v/>
      </c>
      <c r="N92" t="str">
        <f t="shared" si="3"/>
        <v/>
      </c>
      <c r="P92" t="str">
        <f>IF(OR(N92="Overdue",N92="Due this week"),COUNTIF(N$2:N92,"Overdue")+COUNTIF(N$2:N92,"Due this week"),"")</f>
        <v/>
      </c>
    </row>
    <row r="93" spans="13:16" x14ac:dyDescent="0.35">
      <c r="M93" t="str">
        <f t="shared" ca="1" si="2"/>
        <v/>
      </c>
      <c r="N93" t="str">
        <f t="shared" si="3"/>
        <v/>
      </c>
      <c r="P93" t="str">
        <f>IF(OR(N93="Overdue",N93="Due this week"),COUNTIF(N$2:N93,"Overdue")+COUNTIF(N$2:N93,"Due this week"),"")</f>
        <v/>
      </c>
    </row>
    <row r="94" spans="13:16" x14ac:dyDescent="0.35">
      <c r="M94" t="str">
        <f t="shared" ca="1" si="2"/>
        <v/>
      </c>
      <c r="N94" t="str">
        <f t="shared" si="3"/>
        <v/>
      </c>
      <c r="P94" t="str">
        <f>IF(OR(N94="Overdue",N94="Due this week"),COUNTIF(N$2:N94,"Overdue")+COUNTIF(N$2:N94,"Due this week"),"")</f>
        <v/>
      </c>
    </row>
    <row r="95" spans="13:16" x14ac:dyDescent="0.35">
      <c r="M95" t="str">
        <f t="shared" ca="1" si="2"/>
        <v/>
      </c>
      <c r="N95" t="str">
        <f t="shared" si="3"/>
        <v/>
      </c>
      <c r="P95" t="str">
        <f>IF(OR(N95="Overdue",N95="Due this week"),COUNTIF(N$2:N95,"Overdue")+COUNTIF(N$2:N95,"Due this week"),"")</f>
        <v/>
      </c>
    </row>
    <row r="96" spans="13:16" x14ac:dyDescent="0.35">
      <c r="M96" t="str">
        <f t="shared" ca="1" si="2"/>
        <v/>
      </c>
      <c r="N96" t="str">
        <f t="shared" si="3"/>
        <v/>
      </c>
      <c r="P96" t="str">
        <f>IF(OR(N96="Overdue",N96="Due this week"),COUNTIF(N$2:N96,"Overdue")+COUNTIF(N$2:N96,"Due this week"),"")</f>
        <v/>
      </c>
    </row>
    <row r="97" spans="13:16" x14ac:dyDescent="0.35">
      <c r="M97" t="str">
        <f t="shared" ca="1" si="2"/>
        <v/>
      </c>
      <c r="N97" t="str">
        <f t="shared" si="3"/>
        <v/>
      </c>
      <c r="P97" t="str">
        <f>IF(OR(N97="Overdue",N97="Due this week"),COUNTIF(N$2:N97,"Overdue")+COUNTIF(N$2:N97,"Due this week"),"")</f>
        <v/>
      </c>
    </row>
    <row r="98" spans="13:16" x14ac:dyDescent="0.35">
      <c r="M98" t="str">
        <f t="shared" ca="1" si="2"/>
        <v/>
      </c>
      <c r="N98" t="str">
        <f t="shared" si="3"/>
        <v/>
      </c>
      <c r="P98" t="str">
        <f>IF(OR(N98="Overdue",N98="Due this week"),COUNTIF(N$2:N98,"Overdue")+COUNTIF(N$2:N98,"Due this week"),"")</f>
        <v/>
      </c>
    </row>
    <row r="99" spans="13:16" x14ac:dyDescent="0.35">
      <c r="M99" t="str">
        <f t="shared" ca="1" si="2"/>
        <v/>
      </c>
      <c r="N99" t="str">
        <f t="shared" si="3"/>
        <v/>
      </c>
      <c r="P99" t="str">
        <f>IF(OR(N99="Overdue",N99="Due this week"),COUNTIF(N$2:N99,"Overdue")+COUNTIF(N$2:N99,"Due this week"),"")</f>
        <v/>
      </c>
    </row>
    <row r="100" spans="13:16" x14ac:dyDescent="0.35">
      <c r="M100" t="str">
        <f t="shared" ca="1" si="2"/>
        <v/>
      </c>
      <c r="N100" t="str">
        <f t="shared" si="3"/>
        <v/>
      </c>
      <c r="P100" t="str">
        <f>IF(OR(N100="Overdue",N100="Due this week"),COUNTIF(N$2:N100,"Overdue")+COUNTIF(N$2:N100,"Due this week"),"")</f>
        <v/>
      </c>
    </row>
    <row r="101" spans="13:16" x14ac:dyDescent="0.35">
      <c r="M101" t="str">
        <f t="shared" ca="1" si="2"/>
        <v/>
      </c>
      <c r="N101" t="str">
        <f t="shared" si="3"/>
        <v/>
      </c>
      <c r="P101" t="str">
        <f>IF(OR(N101="Overdue",N101="Due this week"),COUNTIF(N$2:N101,"Overdue")+COUNTIF(N$2:N101,"Due this week"),"")</f>
        <v/>
      </c>
    </row>
    <row r="102" spans="13:16" x14ac:dyDescent="0.35">
      <c r="M102" t="str">
        <f t="shared" ca="1" si="2"/>
        <v/>
      </c>
      <c r="N102" t="str">
        <f t="shared" si="3"/>
        <v/>
      </c>
      <c r="P102" t="str">
        <f>IF(OR(N102="Overdue",N102="Due this week"),COUNTIF(N$2:N102,"Overdue")+COUNTIF(N$2:N102,"Due this week"),"")</f>
        <v/>
      </c>
    </row>
    <row r="103" spans="13:16" x14ac:dyDescent="0.35">
      <c r="M103" t="str">
        <f t="shared" ca="1" si="2"/>
        <v/>
      </c>
      <c r="N103" t="str">
        <f t="shared" si="3"/>
        <v/>
      </c>
      <c r="P103" t="str">
        <f>IF(OR(N103="Overdue",N103="Due this week"),COUNTIF(N$2:N103,"Overdue")+COUNTIF(N$2:N103,"Due this week"),"")</f>
        <v/>
      </c>
    </row>
    <row r="104" spans="13:16" x14ac:dyDescent="0.35">
      <c r="M104" t="str">
        <f t="shared" ca="1" si="2"/>
        <v/>
      </c>
      <c r="N104" t="str">
        <f t="shared" si="3"/>
        <v/>
      </c>
      <c r="P104" t="str">
        <f>IF(OR(N104="Overdue",N104="Due this week"),COUNTIF(N$2:N104,"Overdue")+COUNTIF(N$2:N104,"Due this week"),"")</f>
        <v/>
      </c>
    </row>
    <row r="105" spans="13:16" x14ac:dyDescent="0.35">
      <c r="M105" t="str">
        <f t="shared" ca="1" si="2"/>
        <v/>
      </c>
      <c r="N105" t="str">
        <f t="shared" si="3"/>
        <v/>
      </c>
      <c r="P105" t="str">
        <f>IF(OR(N105="Overdue",N105="Due this week"),COUNTIF(N$2:N105,"Overdue")+COUNTIF(N$2:N105,"Due this week"),"")</f>
        <v/>
      </c>
    </row>
    <row r="106" spans="13:16" x14ac:dyDescent="0.35">
      <c r="M106" t="str">
        <f t="shared" ca="1" si="2"/>
        <v/>
      </c>
      <c r="N106" t="str">
        <f t="shared" si="3"/>
        <v/>
      </c>
      <c r="P106" t="str">
        <f>IF(OR(N106="Overdue",N106="Due this week"),COUNTIF(N$2:N106,"Overdue")+COUNTIF(N$2:N106,"Due this week"),"")</f>
        <v/>
      </c>
    </row>
    <row r="107" spans="13:16" x14ac:dyDescent="0.35">
      <c r="M107" t="str">
        <f t="shared" ca="1" si="2"/>
        <v/>
      </c>
      <c r="N107" t="str">
        <f t="shared" si="3"/>
        <v/>
      </c>
      <c r="P107" t="str">
        <f>IF(OR(N107="Overdue",N107="Due this week"),COUNTIF(N$2:N107,"Overdue")+COUNTIF(N$2:N107,"Due this week"),"")</f>
        <v/>
      </c>
    </row>
    <row r="108" spans="13:16" x14ac:dyDescent="0.35">
      <c r="M108" t="str">
        <f t="shared" ca="1" si="2"/>
        <v/>
      </c>
      <c r="N108" t="str">
        <f t="shared" si="3"/>
        <v/>
      </c>
      <c r="P108" t="str">
        <f>IF(OR(N108="Overdue",N108="Due this week"),COUNTIF(N$2:N108,"Overdue")+COUNTIF(N$2:N108,"Due this week"),"")</f>
        <v/>
      </c>
    </row>
    <row r="109" spans="13:16" x14ac:dyDescent="0.35">
      <c r="M109" t="str">
        <f t="shared" ca="1" si="2"/>
        <v/>
      </c>
      <c r="N109" t="str">
        <f t="shared" si="3"/>
        <v/>
      </c>
      <c r="P109" t="str">
        <f>IF(OR(N109="Overdue",N109="Due this week"),COUNTIF(N$2:N109,"Overdue")+COUNTIF(N$2:N109,"Due this week"),"")</f>
        <v/>
      </c>
    </row>
    <row r="110" spans="13:16" x14ac:dyDescent="0.35">
      <c r="M110" t="str">
        <f t="shared" ca="1" si="2"/>
        <v/>
      </c>
      <c r="N110" t="str">
        <f t="shared" si="3"/>
        <v/>
      </c>
      <c r="P110" t="str">
        <f>IF(OR(N110="Overdue",N110="Due this week"),COUNTIF(N$2:N110,"Overdue")+COUNTIF(N$2:N110,"Due this week"),"")</f>
        <v/>
      </c>
    </row>
    <row r="111" spans="13:16" x14ac:dyDescent="0.35">
      <c r="M111" t="str">
        <f t="shared" ca="1" si="2"/>
        <v/>
      </c>
      <c r="N111" t="str">
        <f t="shared" si="3"/>
        <v/>
      </c>
      <c r="P111" t="str">
        <f>IF(OR(N111="Overdue",N111="Due this week"),COUNTIF(N$2:N111,"Overdue")+COUNTIF(N$2:N111,"Due this week"),"")</f>
        <v/>
      </c>
    </row>
    <row r="112" spans="13:16" x14ac:dyDescent="0.35">
      <c r="M112" t="str">
        <f t="shared" ca="1" si="2"/>
        <v/>
      </c>
      <c r="N112" t="str">
        <f t="shared" si="3"/>
        <v/>
      </c>
      <c r="P112" t="str">
        <f>IF(OR(N112="Overdue",N112="Due this week"),COUNTIF(N$2:N112,"Overdue")+COUNTIF(N$2:N112,"Due this week"),"")</f>
        <v/>
      </c>
    </row>
    <row r="113" spans="13:16" x14ac:dyDescent="0.35">
      <c r="M113" t="str">
        <f t="shared" ca="1" si="2"/>
        <v/>
      </c>
      <c r="N113" t="str">
        <f t="shared" si="3"/>
        <v/>
      </c>
      <c r="P113" t="str">
        <f>IF(OR(N113="Overdue",N113="Due this week"),COUNTIF(N$2:N113,"Overdue")+COUNTIF(N$2:N113,"Due this week"),"")</f>
        <v/>
      </c>
    </row>
    <row r="114" spans="13:16" x14ac:dyDescent="0.35">
      <c r="M114" t="str">
        <f t="shared" ca="1" si="2"/>
        <v/>
      </c>
      <c r="N114" t="str">
        <f t="shared" si="3"/>
        <v/>
      </c>
      <c r="P114" t="str">
        <f>IF(OR(N114="Overdue",N114="Due this week"),COUNTIF(N$2:N114,"Overdue")+COUNTIF(N$2:N114,"Due this week"),"")</f>
        <v/>
      </c>
    </row>
    <row r="115" spans="13:16" x14ac:dyDescent="0.35">
      <c r="M115" t="str">
        <f t="shared" ca="1" si="2"/>
        <v/>
      </c>
      <c r="N115" t="str">
        <f t="shared" si="3"/>
        <v/>
      </c>
      <c r="P115" t="str">
        <f>IF(OR(N115="Overdue",N115="Due this week"),COUNTIF(N$2:N115,"Overdue")+COUNTIF(N$2:N115,"Due this week"),"")</f>
        <v/>
      </c>
    </row>
    <row r="116" spans="13:16" x14ac:dyDescent="0.35">
      <c r="M116" t="str">
        <f t="shared" ca="1" si="2"/>
        <v/>
      </c>
      <c r="N116" t="str">
        <f t="shared" si="3"/>
        <v/>
      </c>
      <c r="P116" t="str">
        <f>IF(OR(N116="Overdue",N116="Due this week"),COUNTIF(N$2:N116,"Overdue")+COUNTIF(N$2:N116,"Due this week"),"")</f>
        <v/>
      </c>
    </row>
    <row r="117" spans="13:16" x14ac:dyDescent="0.35">
      <c r="M117" t="str">
        <f t="shared" ca="1" si="2"/>
        <v/>
      </c>
      <c r="N117" t="str">
        <f t="shared" si="3"/>
        <v/>
      </c>
      <c r="P117" t="str">
        <f>IF(OR(N117="Overdue",N117="Due this week"),COUNTIF(N$2:N117,"Overdue")+COUNTIF(N$2:N117,"Due this week"),"")</f>
        <v/>
      </c>
    </row>
    <row r="118" spans="13:16" x14ac:dyDescent="0.35">
      <c r="M118" t="str">
        <f t="shared" ca="1" si="2"/>
        <v/>
      </c>
      <c r="N118" t="str">
        <f t="shared" si="3"/>
        <v/>
      </c>
      <c r="P118" t="str">
        <f>IF(OR(N118="Overdue",N118="Due this week"),COUNTIF(N$2:N118,"Overdue")+COUNTIF(N$2:N118,"Due this week"),"")</f>
        <v/>
      </c>
    </row>
    <row r="119" spans="13:16" x14ac:dyDescent="0.35">
      <c r="M119" t="str">
        <f t="shared" ca="1" si="2"/>
        <v/>
      </c>
      <c r="N119" t="str">
        <f t="shared" si="3"/>
        <v/>
      </c>
      <c r="P119" t="str">
        <f>IF(OR(N119="Overdue",N119="Due this week"),COUNTIF(N$2:N119,"Overdue")+COUNTIF(N$2:N119,"Due this week"),"")</f>
        <v/>
      </c>
    </row>
    <row r="120" spans="13:16" x14ac:dyDescent="0.35">
      <c r="M120" t="str">
        <f t="shared" ca="1" si="2"/>
        <v/>
      </c>
      <c r="N120" t="str">
        <f t="shared" si="3"/>
        <v/>
      </c>
      <c r="P120" t="str">
        <f>IF(OR(N120="Overdue",N120="Due this week"),COUNTIF(N$2:N120,"Overdue")+COUNTIF(N$2:N120,"Due this week"),"")</f>
        <v/>
      </c>
    </row>
    <row r="121" spans="13:16" x14ac:dyDescent="0.35">
      <c r="M121" t="str">
        <f t="shared" ca="1" si="2"/>
        <v/>
      </c>
      <c r="N121" t="str">
        <f t="shared" si="3"/>
        <v/>
      </c>
      <c r="P121" t="str">
        <f>IF(OR(N121="Overdue",N121="Due this week"),COUNTIF(N$2:N121,"Overdue")+COUNTIF(N$2:N121,"Due this week"),"")</f>
        <v/>
      </c>
    </row>
    <row r="122" spans="13:16" x14ac:dyDescent="0.35">
      <c r="M122" t="str">
        <f t="shared" ca="1" si="2"/>
        <v/>
      </c>
      <c r="N122" t="str">
        <f t="shared" si="3"/>
        <v/>
      </c>
      <c r="P122" t="str">
        <f>IF(OR(N122="Overdue",N122="Due this week"),COUNTIF(N$2:N122,"Overdue")+COUNTIF(N$2:N122,"Due this week"),"")</f>
        <v/>
      </c>
    </row>
    <row r="123" spans="13:16" x14ac:dyDescent="0.35">
      <c r="M123" t="str">
        <f t="shared" ca="1" si="2"/>
        <v/>
      </c>
      <c r="N123" t="str">
        <f t="shared" si="3"/>
        <v/>
      </c>
      <c r="P123" t="str">
        <f>IF(OR(N123="Overdue",N123="Due this week"),COUNTIF(N$2:N123,"Overdue")+COUNTIF(N$2:N123,"Due this week"),"")</f>
        <v/>
      </c>
    </row>
    <row r="124" spans="13:16" x14ac:dyDescent="0.35">
      <c r="M124" t="str">
        <f t="shared" ca="1" si="2"/>
        <v/>
      </c>
      <c r="N124" t="str">
        <f t="shared" si="3"/>
        <v/>
      </c>
      <c r="P124" t="str">
        <f>IF(OR(N124="Overdue",N124="Due this week"),COUNTIF(N$2:N124,"Overdue")+COUNTIF(N$2:N124,"Due this week"),"")</f>
        <v/>
      </c>
    </row>
    <row r="125" spans="13:16" x14ac:dyDescent="0.35">
      <c r="M125" t="str">
        <f t="shared" ca="1" si="2"/>
        <v/>
      </c>
      <c r="N125" t="str">
        <f t="shared" si="3"/>
        <v/>
      </c>
      <c r="P125" t="str">
        <f>IF(OR(N125="Overdue",N125="Due this week"),COUNTIF(N$2:N125,"Overdue")+COUNTIF(N$2:N125,"Due this week"),"")</f>
        <v/>
      </c>
    </row>
    <row r="126" spans="13:16" x14ac:dyDescent="0.35">
      <c r="M126" t="str">
        <f t="shared" ca="1" si="2"/>
        <v/>
      </c>
      <c r="N126" t="str">
        <f t="shared" si="3"/>
        <v/>
      </c>
      <c r="P126" t="str">
        <f>IF(OR(N126="Overdue",N126="Due this week"),COUNTIF(N$2:N126,"Overdue")+COUNTIF(N$2:N126,"Due this week"),"")</f>
        <v/>
      </c>
    </row>
    <row r="127" spans="13:16" x14ac:dyDescent="0.35">
      <c r="M127" t="str">
        <f t="shared" ca="1" si="2"/>
        <v/>
      </c>
      <c r="N127" t="str">
        <f t="shared" si="3"/>
        <v/>
      </c>
      <c r="P127" t="str">
        <f>IF(OR(N127="Overdue",N127="Due this week"),COUNTIF(N$2:N127,"Overdue")+COUNTIF(N$2:N127,"Due this week"),"")</f>
        <v/>
      </c>
    </row>
    <row r="128" spans="13:16" x14ac:dyDescent="0.35">
      <c r="M128" t="str">
        <f t="shared" ca="1" si="2"/>
        <v/>
      </c>
      <c r="N128" t="str">
        <f t="shared" si="3"/>
        <v/>
      </c>
      <c r="P128" t="str">
        <f>IF(OR(N128="Overdue",N128="Due this week"),COUNTIF(N$2:N128,"Overdue")+COUNTIF(N$2:N128,"Due this week"),"")</f>
        <v/>
      </c>
    </row>
    <row r="129" spans="13:16" x14ac:dyDescent="0.35">
      <c r="M129" t="str">
        <f t="shared" ca="1" si="2"/>
        <v/>
      </c>
      <c r="N129" t="str">
        <f t="shared" si="3"/>
        <v/>
      </c>
      <c r="P129" t="str">
        <f>IF(OR(N129="Overdue",N129="Due this week"),COUNTIF(N$2:N129,"Overdue")+COUNTIF(N$2:N129,"Due this week"),"")</f>
        <v/>
      </c>
    </row>
    <row r="130" spans="13:16" x14ac:dyDescent="0.35">
      <c r="M130" t="str">
        <f t="shared" ca="1" si="2"/>
        <v/>
      </c>
      <c r="N130" t="str">
        <f t="shared" si="3"/>
        <v/>
      </c>
      <c r="P130" t="str">
        <f>IF(OR(N130="Overdue",N130="Due this week"),COUNTIF(N$2:N130,"Overdue")+COUNTIF(N$2:N130,"Due this week"),"")</f>
        <v/>
      </c>
    </row>
    <row r="131" spans="13:16" x14ac:dyDescent="0.35">
      <c r="M131" t="str">
        <f t="shared" ref="M131:M194" ca="1" si="4">IF(OR(L131="",I131="Arrived",I131="Withdrawn"),"",L131-TODAY())</f>
        <v/>
      </c>
      <c r="N131" t="str">
        <f t="shared" ref="N131:N194" si="5">IF(A131="","",IF(OR(I131="Arrived",I131="Withdrawn"),"Closed",IF(M131="","No deadline",IF(M131&lt;0,"Overdue",IF(M131&lt;=7,"Due this week",IF(M131&lt;=14,"Due soon","On track"))))))</f>
        <v/>
      </c>
      <c r="P131" t="str">
        <f>IF(OR(N131="Overdue",N131="Due this week"),COUNTIF(N$2:N131,"Overdue")+COUNTIF(N$2:N131,"Due this week"),"")</f>
        <v/>
      </c>
    </row>
    <row r="132" spans="13:16" x14ac:dyDescent="0.35">
      <c r="M132" t="str">
        <f t="shared" ca="1" si="4"/>
        <v/>
      </c>
      <c r="N132" t="str">
        <f t="shared" si="5"/>
        <v/>
      </c>
      <c r="P132" t="str">
        <f>IF(OR(N132="Overdue",N132="Due this week"),COUNTIF(N$2:N132,"Overdue")+COUNTIF(N$2:N132,"Due this week"),"")</f>
        <v/>
      </c>
    </row>
    <row r="133" spans="13:16" x14ac:dyDescent="0.35">
      <c r="M133" t="str">
        <f t="shared" ca="1" si="4"/>
        <v/>
      </c>
      <c r="N133" t="str">
        <f t="shared" si="5"/>
        <v/>
      </c>
      <c r="P133" t="str">
        <f>IF(OR(N133="Overdue",N133="Due this week"),COUNTIF(N$2:N133,"Overdue")+COUNTIF(N$2:N133,"Due this week"),"")</f>
        <v/>
      </c>
    </row>
    <row r="134" spans="13:16" x14ac:dyDescent="0.35">
      <c r="M134" t="str">
        <f t="shared" ca="1" si="4"/>
        <v/>
      </c>
      <c r="N134" t="str">
        <f t="shared" si="5"/>
        <v/>
      </c>
      <c r="P134" t="str">
        <f>IF(OR(N134="Overdue",N134="Due this week"),COUNTIF(N$2:N134,"Overdue")+COUNTIF(N$2:N134,"Due this week"),"")</f>
        <v/>
      </c>
    </row>
    <row r="135" spans="13:16" x14ac:dyDescent="0.35">
      <c r="M135" t="str">
        <f t="shared" ca="1" si="4"/>
        <v/>
      </c>
      <c r="N135" t="str">
        <f t="shared" si="5"/>
        <v/>
      </c>
      <c r="P135" t="str">
        <f>IF(OR(N135="Overdue",N135="Due this week"),COUNTIF(N$2:N135,"Overdue")+COUNTIF(N$2:N135,"Due this week"),"")</f>
        <v/>
      </c>
    </row>
    <row r="136" spans="13:16" x14ac:dyDescent="0.35">
      <c r="M136" t="str">
        <f t="shared" ca="1" si="4"/>
        <v/>
      </c>
      <c r="N136" t="str">
        <f t="shared" si="5"/>
        <v/>
      </c>
      <c r="P136" t="str">
        <f>IF(OR(N136="Overdue",N136="Due this week"),COUNTIF(N$2:N136,"Overdue")+COUNTIF(N$2:N136,"Due this week"),"")</f>
        <v/>
      </c>
    </row>
    <row r="137" spans="13:16" x14ac:dyDescent="0.35">
      <c r="M137" t="str">
        <f t="shared" ca="1" si="4"/>
        <v/>
      </c>
      <c r="N137" t="str">
        <f t="shared" si="5"/>
        <v/>
      </c>
      <c r="P137" t="str">
        <f>IF(OR(N137="Overdue",N137="Due this week"),COUNTIF(N$2:N137,"Overdue")+COUNTIF(N$2:N137,"Due this week"),"")</f>
        <v/>
      </c>
    </row>
    <row r="138" spans="13:16" x14ac:dyDescent="0.35">
      <c r="M138" t="str">
        <f t="shared" ca="1" si="4"/>
        <v/>
      </c>
      <c r="N138" t="str">
        <f t="shared" si="5"/>
        <v/>
      </c>
      <c r="P138" t="str">
        <f>IF(OR(N138="Overdue",N138="Due this week"),COUNTIF(N$2:N138,"Overdue")+COUNTIF(N$2:N138,"Due this week"),"")</f>
        <v/>
      </c>
    </row>
    <row r="139" spans="13:16" x14ac:dyDescent="0.35">
      <c r="M139" t="str">
        <f t="shared" ca="1" si="4"/>
        <v/>
      </c>
      <c r="N139" t="str">
        <f t="shared" si="5"/>
        <v/>
      </c>
      <c r="P139" t="str">
        <f>IF(OR(N139="Overdue",N139="Due this week"),COUNTIF(N$2:N139,"Overdue")+COUNTIF(N$2:N139,"Due this week"),"")</f>
        <v/>
      </c>
    </row>
    <row r="140" spans="13:16" x14ac:dyDescent="0.35">
      <c r="M140" t="str">
        <f t="shared" ca="1" si="4"/>
        <v/>
      </c>
      <c r="N140" t="str">
        <f t="shared" si="5"/>
        <v/>
      </c>
      <c r="P140" t="str">
        <f>IF(OR(N140="Overdue",N140="Due this week"),COUNTIF(N$2:N140,"Overdue")+COUNTIF(N$2:N140,"Due this week"),"")</f>
        <v/>
      </c>
    </row>
    <row r="141" spans="13:16" x14ac:dyDescent="0.35">
      <c r="M141" t="str">
        <f t="shared" ca="1" si="4"/>
        <v/>
      </c>
      <c r="N141" t="str">
        <f t="shared" si="5"/>
        <v/>
      </c>
      <c r="P141" t="str">
        <f>IF(OR(N141="Overdue",N141="Due this week"),COUNTIF(N$2:N141,"Overdue")+COUNTIF(N$2:N141,"Due this week"),"")</f>
        <v/>
      </c>
    </row>
    <row r="142" spans="13:16" x14ac:dyDescent="0.35">
      <c r="M142" t="str">
        <f t="shared" ca="1" si="4"/>
        <v/>
      </c>
      <c r="N142" t="str">
        <f t="shared" si="5"/>
        <v/>
      </c>
      <c r="P142" t="str">
        <f>IF(OR(N142="Overdue",N142="Due this week"),COUNTIF(N$2:N142,"Overdue")+COUNTIF(N$2:N142,"Due this week"),"")</f>
        <v/>
      </c>
    </row>
    <row r="143" spans="13:16" x14ac:dyDescent="0.35">
      <c r="M143" t="str">
        <f t="shared" ca="1" si="4"/>
        <v/>
      </c>
      <c r="N143" t="str">
        <f t="shared" si="5"/>
        <v/>
      </c>
      <c r="P143" t="str">
        <f>IF(OR(N143="Overdue",N143="Due this week"),COUNTIF(N$2:N143,"Overdue")+COUNTIF(N$2:N143,"Due this week"),"")</f>
        <v/>
      </c>
    </row>
    <row r="144" spans="13:16" x14ac:dyDescent="0.35">
      <c r="M144" t="str">
        <f t="shared" ca="1" si="4"/>
        <v/>
      </c>
      <c r="N144" t="str">
        <f t="shared" si="5"/>
        <v/>
      </c>
      <c r="P144" t="str">
        <f>IF(OR(N144="Overdue",N144="Due this week"),COUNTIF(N$2:N144,"Overdue")+COUNTIF(N$2:N144,"Due this week"),"")</f>
        <v/>
      </c>
    </row>
    <row r="145" spans="13:16" x14ac:dyDescent="0.35">
      <c r="M145" t="str">
        <f t="shared" ca="1" si="4"/>
        <v/>
      </c>
      <c r="N145" t="str">
        <f t="shared" si="5"/>
        <v/>
      </c>
      <c r="P145" t="str">
        <f>IF(OR(N145="Overdue",N145="Due this week"),COUNTIF(N$2:N145,"Overdue")+COUNTIF(N$2:N145,"Due this week"),"")</f>
        <v/>
      </c>
    </row>
    <row r="146" spans="13:16" x14ac:dyDescent="0.35">
      <c r="M146" t="str">
        <f t="shared" ca="1" si="4"/>
        <v/>
      </c>
      <c r="N146" t="str">
        <f t="shared" si="5"/>
        <v/>
      </c>
      <c r="P146" t="str">
        <f>IF(OR(N146="Overdue",N146="Due this week"),COUNTIF(N$2:N146,"Overdue")+COUNTIF(N$2:N146,"Due this week"),"")</f>
        <v/>
      </c>
    </row>
    <row r="147" spans="13:16" x14ac:dyDescent="0.35">
      <c r="M147" t="str">
        <f t="shared" ca="1" si="4"/>
        <v/>
      </c>
      <c r="N147" t="str">
        <f t="shared" si="5"/>
        <v/>
      </c>
      <c r="P147" t="str">
        <f>IF(OR(N147="Overdue",N147="Due this week"),COUNTIF(N$2:N147,"Overdue")+COUNTIF(N$2:N147,"Due this week"),"")</f>
        <v/>
      </c>
    </row>
    <row r="148" spans="13:16" x14ac:dyDescent="0.35">
      <c r="M148" t="str">
        <f t="shared" ca="1" si="4"/>
        <v/>
      </c>
      <c r="N148" t="str">
        <f t="shared" si="5"/>
        <v/>
      </c>
      <c r="P148" t="str">
        <f>IF(OR(N148="Overdue",N148="Due this week"),COUNTIF(N$2:N148,"Overdue")+COUNTIF(N$2:N148,"Due this week"),"")</f>
        <v/>
      </c>
    </row>
    <row r="149" spans="13:16" x14ac:dyDescent="0.35">
      <c r="M149" t="str">
        <f t="shared" ca="1" si="4"/>
        <v/>
      </c>
      <c r="N149" t="str">
        <f t="shared" si="5"/>
        <v/>
      </c>
      <c r="P149" t="str">
        <f>IF(OR(N149="Overdue",N149="Due this week"),COUNTIF(N$2:N149,"Overdue")+COUNTIF(N$2:N149,"Due this week"),"")</f>
        <v/>
      </c>
    </row>
    <row r="150" spans="13:16" x14ac:dyDescent="0.35">
      <c r="M150" t="str">
        <f t="shared" ca="1" si="4"/>
        <v/>
      </c>
      <c r="N150" t="str">
        <f t="shared" si="5"/>
        <v/>
      </c>
      <c r="P150" t="str">
        <f>IF(OR(N150="Overdue",N150="Due this week"),COUNTIF(N$2:N150,"Overdue")+COUNTIF(N$2:N150,"Due this week"),"")</f>
        <v/>
      </c>
    </row>
    <row r="151" spans="13:16" x14ac:dyDescent="0.35">
      <c r="M151" t="str">
        <f t="shared" ca="1" si="4"/>
        <v/>
      </c>
      <c r="N151" t="str">
        <f t="shared" si="5"/>
        <v/>
      </c>
      <c r="P151" t="str">
        <f>IF(OR(N151="Overdue",N151="Due this week"),COUNTIF(N$2:N151,"Overdue")+COUNTIF(N$2:N151,"Due this week"),"")</f>
        <v/>
      </c>
    </row>
    <row r="152" spans="13:16" x14ac:dyDescent="0.35">
      <c r="M152" t="str">
        <f t="shared" ca="1" si="4"/>
        <v/>
      </c>
      <c r="N152" t="str">
        <f t="shared" si="5"/>
        <v/>
      </c>
      <c r="P152" t="str">
        <f>IF(OR(N152="Overdue",N152="Due this week"),COUNTIF(N$2:N152,"Overdue")+COUNTIF(N$2:N152,"Due this week"),"")</f>
        <v/>
      </c>
    </row>
    <row r="153" spans="13:16" x14ac:dyDescent="0.35">
      <c r="M153" t="str">
        <f t="shared" ca="1" si="4"/>
        <v/>
      </c>
      <c r="N153" t="str">
        <f t="shared" si="5"/>
        <v/>
      </c>
      <c r="P153" t="str">
        <f>IF(OR(N153="Overdue",N153="Due this week"),COUNTIF(N$2:N153,"Overdue")+COUNTIF(N$2:N153,"Due this week"),"")</f>
        <v/>
      </c>
    </row>
    <row r="154" spans="13:16" x14ac:dyDescent="0.35">
      <c r="M154" t="str">
        <f t="shared" ca="1" si="4"/>
        <v/>
      </c>
      <c r="N154" t="str">
        <f t="shared" si="5"/>
        <v/>
      </c>
      <c r="P154" t="str">
        <f>IF(OR(N154="Overdue",N154="Due this week"),COUNTIF(N$2:N154,"Overdue")+COUNTIF(N$2:N154,"Due this week"),"")</f>
        <v/>
      </c>
    </row>
    <row r="155" spans="13:16" x14ac:dyDescent="0.35">
      <c r="M155" t="str">
        <f t="shared" ca="1" si="4"/>
        <v/>
      </c>
      <c r="N155" t="str">
        <f t="shared" si="5"/>
        <v/>
      </c>
      <c r="P155" t="str">
        <f>IF(OR(N155="Overdue",N155="Due this week"),COUNTIF(N$2:N155,"Overdue")+COUNTIF(N$2:N155,"Due this week"),"")</f>
        <v/>
      </c>
    </row>
    <row r="156" spans="13:16" x14ac:dyDescent="0.35">
      <c r="M156" t="str">
        <f t="shared" ca="1" si="4"/>
        <v/>
      </c>
      <c r="N156" t="str">
        <f t="shared" si="5"/>
        <v/>
      </c>
      <c r="P156" t="str">
        <f>IF(OR(N156="Overdue",N156="Due this week"),COUNTIF(N$2:N156,"Overdue")+COUNTIF(N$2:N156,"Due this week"),"")</f>
        <v/>
      </c>
    </row>
    <row r="157" spans="13:16" x14ac:dyDescent="0.35">
      <c r="M157" t="str">
        <f t="shared" ca="1" si="4"/>
        <v/>
      </c>
      <c r="N157" t="str">
        <f t="shared" si="5"/>
        <v/>
      </c>
      <c r="P157" t="str">
        <f>IF(OR(N157="Overdue",N157="Due this week"),COUNTIF(N$2:N157,"Overdue")+COUNTIF(N$2:N157,"Due this week"),"")</f>
        <v/>
      </c>
    </row>
    <row r="158" spans="13:16" x14ac:dyDescent="0.35">
      <c r="M158" t="str">
        <f t="shared" ca="1" si="4"/>
        <v/>
      </c>
      <c r="N158" t="str">
        <f t="shared" si="5"/>
        <v/>
      </c>
      <c r="P158" t="str">
        <f>IF(OR(N158="Overdue",N158="Due this week"),COUNTIF(N$2:N158,"Overdue")+COUNTIF(N$2:N158,"Due this week"),"")</f>
        <v/>
      </c>
    </row>
    <row r="159" spans="13:16" x14ac:dyDescent="0.35">
      <c r="M159" t="str">
        <f t="shared" ca="1" si="4"/>
        <v/>
      </c>
      <c r="N159" t="str">
        <f t="shared" si="5"/>
        <v/>
      </c>
      <c r="P159" t="str">
        <f>IF(OR(N159="Overdue",N159="Due this week"),COUNTIF(N$2:N159,"Overdue")+COUNTIF(N$2:N159,"Due this week"),"")</f>
        <v/>
      </c>
    </row>
    <row r="160" spans="13:16" x14ac:dyDescent="0.35">
      <c r="M160" t="str">
        <f t="shared" ca="1" si="4"/>
        <v/>
      </c>
      <c r="N160" t="str">
        <f t="shared" si="5"/>
        <v/>
      </c>
      <c r="P160" t="str">
        <f>IF(OR(N160="Overdue",N160="Due this week"),COUNTIF(N$2:N160,"Overdue")+COUNTIF(N$2:N160,"Due this week"),"")</f>
        <v/>
      </c>
    </row>
    <row r="161" spans="13:16" x14ac:dyDescent="0.35">
      <c r="M161" t="str">
        <f t="shared" ca="1" si="4"/>
        <v/>
      </c>
      <c r="N161" t="str">
        <f t="shared" si="5"/>
        <v/>
      </c>
      <c r="P161" t="str">
        <f>IF(OR(N161="Overdue",N161="Due this week"),COUNTIF(N$2:N161,"Overdue")+COUNTIF(N$2:N161,"Due this week"),"")</f>
        <v/>
      </c>
    </row>
    <row r="162" spans="13:16" x14ac:dyDescent="0.35">
      <c r="M162" t="str">
        <f t="shared" ca="1" si="4"/>
        <v/>
      </c>
      <c r="N162" t="str">
        <f t="shared" si="5"/>
        <v/>
      </c>
      <c r="P162" t="str">
        <f>IF(OR(N162="Overdue",N162="Due this week"),COUNTIF(N$2:N162,"Overdue")+COUNTIF(N$2:N162,"Due this week"),"")</f>
        <v/>
      </c>
    </row>
    <row r="163" spans="13:16" x14ac:dyDescent="0.35">
      <c r="M163" t="str">
        <f t="shared" ca="1" si="4"/>
        <v/>
      </c>
      <c r="N163" t="str">
        <f t="shared" si="5"/>
        <v/>
      </c>
      <c r="P163" t="str">
        <f>IF(OR(N163="Overdue",N163="Due this week"),COUNTIF(N$2:N163,"Overdue")+COUNTIF(N$2:N163,"Due this week"),"")</f>
        <v/>
      </c>
    </row>
    <row r="164" spans="13:16" x14ac:dyDescent="0.35">
      <c r="M164" t="str">
        <f t="shared" ca="1" si="4"/>
        <v/>
      </c>
      <c r="N164" t="str">
        <f t="shared" si="5"/>
        <v/>
      </c>
      <c r="P164" t="str">
        <f>IF(OR(N164="Overdue",N164="Due this week"),COUNTIF(N$2:N164,"Overdue")+COUNTIF(N$2:N164,"Due this week"),"")</f>
        <v/>
      </c>
    </row>
    <row r="165" spans="13:16" x14ac:dyDescent="0.35">
      <c r="M165" t="str">
        <f t="shared" ca="1" si="4"/>
        <v/>
      </c>
      <c r="N165" t="str">
        <f t="shared" si="5"/>
        <v/>
      </c>
      <c r="P165" t="str">
        <f>IF(OR(N165="Overdue",N165="Due this week"),COUNTIF(N$2:N165,"Overdue")+COUNTIF(N$2:N165,"Due this week"),"")</f>
        <v/>
      </c>
    </row>
    <row r="166" spans="13:16" x14ac:dyDescent="0.35">
      <c r="M166" t="str">
        <f t="shared" ca="1" si="4"/>
        <v/>
      </c>
      <c r="N166" t="str">
        <f t="shared" si="5"/>
        <v/>
      </c>
      <c r="P166" t="str">
        <f>IF(OR(N166="Overdue",N166="Due this week"),COUNTIF(N$2:N166,"Overdue")+COUNTIF(N$2:N166,"Due this week"),"")</f>
        <v/>
      </c>
    </row>
    <row r="167" spans="13:16" x14ac:dyDescent="0.35">
      <c r="M167" t="str">
        <f t="shared" ca="1" si="4"/>
        <v/>
      </c>
      <c r="N167" t="str">
        <f t="shared" si="5"/>
        <v/>
      </c>
      <c r="P167" t="str">
        <f>IF(OR(N167="Overdue",N167="Due this week"),COUNTIF(N$2:N167,"Overdue")+COUNTIF(N$2:N167,"Due this week"),"")</f>
        <v/>
      </c>
    </row>
    <row r="168" spans="13:16" x14ac:dyDescent="0.35">
      <c r="M168" t="str">
        <f t="shared" ca="1" si="4"/>
        <v/>
      </c>
      <c r="N168" t="str">
        <f t="shared" si="5"/>
        <v/>
      </c>
      <c r="P168" t="str">
        <f>IF(OR(N168="Overdue",N168="Due this week"),COUNTIF(N$2:N168,"Overdue")+COUNTIF(N$2:N168,"Due this week"),"")</f>
        <v/>
      </c>
    </row>
    <row r="169" spans="13:16" x14ac:dyDescent="0.35">
      <c r="M169" t="str">
        <f t="shared" ca="1" si="4"/>
        <v/>
      </c>
      <c r="N169" t="str">
        <f t="shared" si="5"/>
        <v/>
      </c>
      <c r="P169" t="str">
        <f>IF(OR(N169="Overdue",N169="Due this week"),COUNTIF(N$2:N169,"Overdue")+COUNTIF(N$2:N169,"Due this week"),"")</f>
        <v/>
      </c>
    </row>
    <row r="170" spans="13:16" x14ac:dyDescent="0.35">
      <c r="M170" t="str">
        <f t="shared" ca="1" si="4"/>
        <v/>
      </c>
      <c r="N170" t="str">
        <f t="shared" si="5"/>
        <v/>
      </c>
      <c r="P170" t="str">
        <f>IF(OR(N170="Overdue",N170="Due this week"),COUNTIF(N$2:N170,"Overdue")+COUNTIF(N$2:N170,"Due this week"),"")</f>
        <v/>
      </c>
    </row>
    <row r="171" spans="13:16" x14ac:dyDescent="0.35">
      <c r="M171" t="str">
        <f t="shared" ca="1" si="4"/>
        <v/>
      </c>
      <c r="N171" t="str">
        <f t="shared" si="5"/>
        <v/>
      </c>
      <c r="P171" t="str">
        <f>IF(OR(N171="Overdue",N171="Due this week"),COUNTIF(N$2:N171,"Overdue")+COUNTIF(N$2:N171,"Due this week"),"")</f>
        <v/>
      </c>
    </row>
    <row r="172" spans="13:16" x14ac:dyDescent="0.35">
      <c r="M172" t="str">
        <f t="shared" ca="1" si="4"/>
        <v/>
      </c>
      <c r="N172" t="str">
        <f t="shared" si="5"/>
        <v/>
      </c>
      <c r="P172" t="str">
        <f>IF(OR(N172="Overdue",N172="Due this week"),COUNTIF(N$2:N172,"Overdue")+COUNTIF(N$2:N172,"Due this week"),"")</f>
        <v/>
      </c>
    </row>
    <row r="173" spans="13:16" x14ac:dyDescent="0.35">
      <c r="M173" t="str">
        <f t="shared" ca="1" si="4"/>
        <v/>
      </c>
      <c r="N173" t="str">
        <f t="shared" si="5"/>
        <v/>
      </c>
      <c r="P173" t="str">
        <f>IF(OR(N173="Overdue",N173="Due this week"),COUNTIF(N$2:N173,"Overdue")+COUNTIF(N$2:N173,"Due this week"),"")</f>
        <v/>
      </c>
    </row>
    <row r="174" spans="13:16" x14ac:dyDescent="0.35">
      <c r="M174" t="str">
        <f t="shared" ca="1" si="4"/>
        <v/>
      </c>
      <c r="N174" t="str">
        <f t="shared" si="5"/>
        <v/>
      </c>
      <c r="P174" t="str">
        <f>IF(OR(N174="Overdue",N174="Due this week"),COUNTIF(N$2:N174,"Overdue")+COUNTIF(N$2:N174,"Due this week"),"")</f>
        <v/>
      </c>
    </row>
    <row r="175" spans="13:16" x14ac:dyDescent="0.35">
      <c r="M175" t="str">
        <f t="shared" ca="1" si="4"/>
        <v/>
      </c>
      <c r="N175" t="str">
        <f t="shared" si="5"/>
        <v/>
      </c>
      <c r="P175" t="str">
        <f>IF(OR(N175="Overdue",N175="Due this week"),COUNTIF(N$2:N175,"Overdue")+COUNTIF(N$2:N175,"Due this week"),"")</f>
        <v/>
      </c>
    </row>
    <row r="176" spans="13:16" x14ac:dyDescent="0.35">
      <c r="M176" t="str">
        <f t="shared" ca="1" si="4"/>
        <v/>
      </c>
      <c r="N176" t="str">
        <f t="shared" si="5"/>
        <v/>
      </c>
      <c r="P176" t="str">
        <f>IF(OR(N176="Overdue",N176="Due this week"),COUNTIF(N$2:N176,"Overdue")+COUNTIF(N$2:N176,"Due this week"),"")</f>
        <v/>
      </c>
    </row>
    <row r="177" spans="13:16" x14ac:dyDescent="0.35">
      <c r="M177" t="str">
        <f t="shared" ca="1" si="4"/>
        <v/>
      </c>
      <c r="N177" t="str">
        <f t="shared" si="5"/>
        <v/>
      </c>
      <c r="P177" t="str">
        <f>IF(OR(N177="Overdue",N177="Due this week"),COUNTIF(N$2:N177,"Overdue")+COUNTIF(N$2:N177,"Due this week"),"")</f>
        <v/>
      </c>
    </row>
    <row r="178" spans="13:16" x14ac:dyDescent="0.35">
      <c r="M178" t="str">
        <f t="shared" ca="1" si="4"/>
        <v/>
      </c>
      <c r="N178" t="str">
        <f t="shared" si="5"/>
        <v/>
      </c>
      <c r="P178" t="str">
        <f>IF(OR(N178="Overdue",N178="Due this week"),COUNTIF(N$2:N178,"Overdue")+COUNTIF(N$2:N178,"Due this week"),"")</f>
        <v/>
      </c>
    </row>
    <row r="179" spans="13:16" x14ac:dyDescent="0.35">
      <c r="M179" t="str">
        <f t="shared" ca="1" si="4"/>
        <v/>
      </c>
      <c r="N179" t="str">
        <f t="shared" si="5"/>
        <v/>
      </c>
      <c r="P179" t="str">
        <f>IF(OR(N179="Overdue",N179="Due this week"),COUNTIF(N$2:N179,"Overdue")+COUNTIF(N$2:N179,"Due this week"),"")</f>
        <v/>
      </c>
    </row>
    <row r="180" spans="13:16" x14ac:dyDescent="0.35">
      <c r="M180" t="str">
        <f t="shared" ca="1" si="4"/>
        <v/>
      </c>
      <c r="N180" t="str">
        <f t="shared" si="5"/>
        <v/>
      </c>
      <c r="P180" t="str">
        <f>IF(OR(N180="Overdue",N180="Due this week"),COUNTIF(N$2:N180,"Overdue")+COUNTIF(N$2:N180,"Due this week"),"")</f>
        <v/>
      </c>
    </row>
    <row r="181" spans="13:16" x14ac:dyDescent="0.35">
      <c r="M181" t="str">
        <f t="shared" ca="1" si="4"/>
        <v/>
      </c>
      <c r="N181" t="str">
        <f t="shared" si="5"/>
        <v/>
      </c>
      <c r="P181" t="str">
        <f>IF(OR(N181="Overdue",N181="Due this week"),COUNTIF(N$2:N181,"Overdue")+COUNTIF(N$2:N181,"Due this week"),"")</f>
        <v/>
      </c>
    </row>
    <row r="182" spans="13:16" x14ac:dyDescent="0.35">
      <c r="M182" t="str">
        <f t="shared" ca="1" si="4"/>
        <v/>
      </c>
      <c r="N182" t="str">
        <f t="shared" si="5"/>
        <v/>
      </c>
      <c r="P182" t="str">
        <f>IF(OR(N182="Overdue",N182="Due this week"),COUNTIF(N$2:N182,"Overdue")+COUNTIF(N$2:N182,"Due this week"),"")</f>
        <v/>
      </c>
    </row>
    <row r="183" spans="13:16" x14ac:dyDescent="0.35">
      <c r="M183" t="str">
        <f t="shared" ca="1" si="4"/>
        <v/>
      </c>
      <c r="N183" t="str">
        <f t="shared" si="5"/>
        <v/>
      </c>
      <c r="P183" t="str">
        <f>IF(OR(N183="Overdue",N183="Due this week"),COUNTIF(N$2:N183,"Overdue")+COUNTIF(N$2:N183,"Due this week"),"")</f>
        <v/>
      </c>
    </row>
    <row r="184" spans="13:16" x14ac:dyDescent="0.35">
      <c r="M184" t="str">
        <f t="shared" ca="1" si="4"/>
        <v/>
      </c>
      <c r="N184" t="str">
        <f t="shared" si="5"/>
        <v/>
      </c>
      <c r="P184" t="str">
        <f>IF(OR(N184="Overdue",N184="Due this week"),COUNTIF(N$2:N184,"Overdue")+COUNTIF(N$2:N184,"Due this week"),"")</f>
        <v/>
      </c>
    </row>
    <row r="185" spans="13:16" x14ac:dyDescent="0.35">
      <c r="M185" t="str">
        <f t="shared" ca="1" si="4"/>
        <v/>
      </c>
      <c r="N185" t="str">
        <f t="shared" si="5"/>
        <v/>
      </c>
      <c r="P185" t="str">
        <f>IF(OR(N185="Overdue",N185="Due this week"),COUNTIF(N$2:N185,"Overdue")+COUNTIF(N$2:N185,"Due this week"),"")</f>
        <v/>
      </c>
    </row>
    <row r="186" spans="13:16" x14ac:dyDescent="0.35">
      <c r="M186" t="str">
        <f t="shared" ca="1" si="4"/>
        <v/>
      </c>
      <c r="N186" t="str">
        <f t="shared" si="5"/>
        <v/>
      </c>
      <c r="P186" t="str">
        <f>IF(OR(N186="Overdue",N186="Due this week"),COUNTIF(N$2:N186,"Overdue")+COUNTIF(N$2:N186,"Due this week"),"")</f>
        <v/>
      </c>
    </row>
    <row r="187" spans="13:16" x14ac:dyDescent="0.35">
      <c r="M187" t="str">
        <f t="shared" ca="1" si="4"/>
        <v/>
      </c>
      <c r="N187" t="str">
        <f t="shared" si="5"/>
        <v/>
      </c>
      <c r="P187" t="str">
        <f>IF(OR(N187="Overdue",N187="Due this week"),COUNTIF(N$2:N187,"Overdue")+COUNTIF(N$2:N187,"Due this week"),"")</f>
        <v/>
      </c>
    </row>
    <row r="188" spans="13:16" x14ac:dyDescent="0.35">
      <c r="M188" t="str">
        <f t="shared" ca="1" si="4"/>
        <v/>
      </c>
      <c r="N188" t="str">
        <f t="shared" si="5"/>
        <v/>
      </c>
      <c r="P188" t="str">
        <f>IF(OR(N188="Overdue",N188="Due this week"),COUNTIF(N$2:N188,"Overdue")+COUNTIF(N$2:N188,"Due this week"),"")</f>
        <v/>
      </c>
    </row>
    <row r="189" spans="13:16" x14ac:dyDescent="0.35">
      <c r="M189" t="str">
        <f t="shared" ca="1" si="4"/>
        <v/>
      </c>
      <c r="N189" t="str">
        <f t="shared" si="5"/>
        <v/>
      </c>
      <c r="P189" t="str">
        <f>IF(OR(N189="Overdue",N189="Due this week"),COUNTIF(N$2:N189,"Overdue")+COUNTIF(N$2:N189,"Due this week"),"")</f>
        <v/>
      </c>
    </row>
    <row r="190" spans="13:16" x14ac:dyDescent="0.35">
      <c r="M190" t="str">
        <f t="shared" ca="1" si="4"/>
        <v/>
      </c>
      <c r="N190" t="str">
        <f t="shared" si="5"/>
        <v/>
      </c>
      <c r="P190" t="str">
        <f>IF(OR(N190="Overdue",N190="Due this week"),COUNTIF(N$2:N190,"Overdue")+COUNTIF(N$2:N190,"Due this week"),"")</f>
        <v/>
      </c>
    </row>
    <row r="191" spans="13:16" x14ac:dyDescent="0.35">
      <c r="M191" t="str">
        <f t="shared" ca="1" si="4"/>
        <v/>
      </c>
      <c r="N191" t="str">
        <f t="shared" si="5"/>
        <v/>
      </c>
      <c r="P191" t="str">
        <f>IF(OR(N191="Overdue",N191="Due this week"),COUNTIF(N$2:N191,"Overdue")+COUNTIF(N$2:N191,"Due this week"),"")</f>
        <v/>
      </c>
    </row>
    <row r="192" spans="13:16" x14ac:dyDescent="0.35">
      <c r="M192" t="str">
        <f t="shared" ca="1" si="4"/>
        <v/>
      </c>
      <c r="N192" t="str">
        <f t="shared" si="5"/>
        <v/>
      </c>
      <c r="P192" t="str">
        <f>IF(OR(N192="Overdue",N192="Due this week"),COUNTIF(N$2:N192,"Overdue")+COUNTIF(N$2:N192,"Due this week"),"")</f>
        <v/>
      </c>
    </row>
    <row r="193" spans="13:16" x14ac:dyDescent="0.35">
      <c r="M193" t="str">
        <f t="shared" ca="1" si="4"/>
        <v/>
      </c>
      <c r="N193" t="str">
        <f t="shared" si="5"/>
        <v/>
      </c>
      <c r="P193" t="str">
        <f>IF(OR(N193="Overdue",N193="Due this week"),COUNTIF(N$2:N193,"Overdue")+COUNTIF(N$2:N193,"Due this week"),"")</f>
        <v/>
      </c>
    </row>
    <row r="194" spans="13:16" x14ac:dyDescent="0.35">
      <c r="M194" t="str">
        <f t="shared" ca="1" si="4"/>
        <v/>
      </c>
      <c r="N194" t="str">
        <f t="shared" si="5"/>
        <v/>
      </c>
      <c r="P194" t="str">
        <f>IF(OR(N194="Overdue",N194="Due this week"),COUNTIF(N$2:N194,"Overdue")+COUNTIF(N$2:N194,"Due this week"),"")</f>
        <v/>
      </c>
    </row>
    <row r="195" spans="13:16" x14ac:dyDescent="0.35">
      <c r="M195" t="str">
        <f t="shared" ref="M195:M258" ca="1" si="6">IF(OR(L195="",I195="Arrived",I195="Withdrawn"),"",L195-TODAY())</f>
        <v/>
      </c>
      <c r="N195" t="str">
        <f t="shared" ref="N195:N258" si="7">IF(A195="","",IF(OR(I195="Arrived",I195="Withdrawn"),"Closed",IF(M195="","No deadline",IF(M195&lt;0,"Overdue",IF(M195&lt;=7,"Due this week",IF(M195&lt;=14,"Due soon","On track"))))))</f>
        <v/>
      </c>
      <c r="P195" t="str">
        <f>IF(OR(N195="Overdue",N195="Due this week"),COUNTIF(N$2:N195,"Overdue")+COUNTIF(N$2:N195,"Due this week"),"")</f>
        <v/>
      </c>
    </row>
    <row r="196" spans="13:16" x14ac:dyDescent="0.35">
      <c r="M196" t="str">
        <f t="shared" ca="1" si="6"/>
        <v/>
      </c>
      <c r="N196" t="str">
        <f t="shared" si="7"/>
        <v/>
      </c>
      <c r="P196" t="str">
        <f>IF(OR(N196="Overdue",N196="Due this week"),COUNTIF(N$2:N196,"Overdue")+COUNTIF(N$2:N196,"Due this week"),"")</f>
        <v/>
      </c>
    </row>
    <row r="197" spans="13:16" x14ac:dyDescent="0.35">
      <c r="M197" t="str">
        <f t="shared" ca="1" si="6"/>
        <v/>
      </c>
      <c r="N197" t="str">
        <f t="shared" si="7"/>
        <v/>
      </c>
      <c r="P197" t="str">
        <f>IF(OR(N197="Overdue",N197="Due this week"),COUNTIF(N$2:N197,"Overdue")+COUNTIF(N$2:N197,"Due this week"),"")</f>
        <v/>
      </c>
    </row>
    <row r="198" spans="13:16" x14ac:dyDescent="0.35">
      <c r="M198" t="str">
        <f t="shared" ca="1" si="6"/>
        <v/>
      </c>
      <c r="N198" t="str">
        <f t="shared" si="7"/>
        <v/>
      </c>
      <c r="P198" t="str">
        <f>IF(OR(N198="Overdue",N198="Due this week"),COUNTIF(N$2:N198,"Overdue")+COUNTIF(N$2:N198,"Due this week"),"")</f>
        <v/>
      </c>
    </row>
    <row r="199" spans="13:16" x14ac:dyDescent="0.35">
      <c r="M199" t="str">
        <f t="shared" ca="1" si="6"/>
        <v/>
      </c>
      <c r="N199" t="str">
        <f t="shared" si="7"/>
        <v/>
      </c>
      <c r="P199" t="str">
        <f>IF(OR(N199="Overdue",N199="Due this week"),COUNTIF(N$2:N199,"Overdue")+COUNTIF(N$2:N199,"Due this week"),"")</f>
        <v/>
      </c>
    </row>
    <row r="200" spans="13:16" x14ac:dyDescent="0.35">
      <c r="M200" t="str">
        <f t="shared" ca="1" si="6"/>
        <v/>
      </c>
      <c r="N200" t="str">
        <f t="shared" si="7"/>
        <v/>
      </c>
      <c r="P200" t="str">
        <f>IF(OR(N200="Overdue",N200="Due this week"),COUNTIF(N$2:N200,"Overdue")+COUNTIF(N$2:N200,"Due this week"),"")</f>
        <v/>
      </c>
    </row>
    <row r="201" spans="13:16" x14ac:dyDescent="0.35">
      <c r="M201" t="str">
        <f t="shared" ca="1" si="6"/>
        <v/>
      </c>
      <c r="N201" t="str">
        <f t="shared" si="7"/>
        <v/>
      </c>
      <c r="P201" t="str">
        <f>IF(OR(N201="Overdue",N201="Due this week"),COUNTIF(N$2:N201,"Overdue")+COUNTIF(N$2:N201,"Due this week"),"")</f>
        <v/>
      </c>
    </row>
    <row r="202" spans="13:16" x14ac:dyDescent="0.35">
      <c r="M202" t="str">
        <f t="shared" ca="1" si="6"/>
        <v/>
      </c>
      <c r="N202" t="str">
        <f t="shared" si="7"/>
        <v/>
      </c>
      <c r="P202" t="str">
        <f>IF(OR(N202="Overdue",N202="Due this week"),COUNTIF(N$2:N202,"Overdue")+COUNTIF(N$2:N202,"Due this week"),"")</f>
        <v/>
      </c>
    </row>
    <row r="203" spans="13:16" x14ac:dyDescent="0.35">
      <c r="M203" t="str">
        <f t="shared" ca="1" si="6"/>
        <v/>
      </c>
      <c r="N203" t="str">
        <f t="shared" si="7"/>
        <v/>
      </c>
      <c r="P203" t="str">
        <f>IF(OR(N203="Overdue",N203="Due this week"),COUNTIF(N$2:N203,"Overdue")+COUNTIF(N$2:N203,"Due this week"),"")</f>
        <v/>
      </c>
    </row>
    <row r="204" spans="13:16" x14ac:dyDescent="0.35">
      <c r="M204" t="str">
        <f t="shared" ca="1" si="6"/>
        <v/>
      </c>
      <c r="N204" t="str">
        <f t="shared" si="7"/>
        <v/>
      </c>
      <c r="P204" t="str">
        <f>IF(OR(N204="Overdue",N204="Due this week"),COUNTIF(N$2:N204,"Overdue")+COUNTIF(N$2:N204,"Due this week"),"")</f>
        <v/>
      </c>
    </row>
    <row r="205" spans="13:16" x14ac:dyDescent="0.35">
      <c r="M205" t="str">
        <f t="shared" ca="1" si="6"/>
        <v/>
      </c>
      <c r="N205" t="str">
        <f t="shared" si="7"/>
        <v/>
      </c>
      <c r="P205" t="str">
        <f>IF(OR(N205="Overdue",N205="Due this week"),COUNTIF(N$2:N205,"Overdue")+COUNTIF(N$2:N205,"Due this week"),"")</f>
        <v/>
      </c>
    </row>
    <row r="206" spans="13:16" x14ac:dyDescent="0.35">
      <c r="M206" t="str">
        <f t="shared" ca="1" si="6"/>
        <v/>
      </c>
      <c r="N206" t="str">
        <f t="shared" si="7"/>
        <v/>
      </c>
      <c r="P206" t="str">
        <f>IF(OR(N206="Overdue",N206="Due this week"),COUNTIF(N$2:N206,"Overdue")+COUNTIF(N$2:N206,"Due this week"),"")</f>
        <v/>
      </c>
    </row>
    <row r="207" spans="13:16" x14ac:dyDescent="0.35">
      <c r="M207" t="str">
        <f t="shared" ca="1" si="6"/>
        <v/>
      </c>
      <c r="N207" t="str">
        <f t="shared" si="7"/>
        <v/>
      </c>
      <c r="P207" t="str">
        <f>IF(OR(N207="Overdue",N207="Due this week"),COUNTIF(N$2:N207,"Overdue")+COUNTIF(N$2:N207,"Due this week"),"")</f>
        <v/>
      </c>
    </row>
    <row r="208" spans="13:16" x14ac:dyDescent="0.35">
      <c r="M208" t="str">
        <f t="shared" ca="1" si="6"/>
        <v/>
      </c>
      <c r="N208" t="str">
        <f t="shared" si="7"/>
        <v/>
      </c>
      <c r="P208" t="str">
        <f>IF(OR(N208="Overdue",N208="Due this week"),COUNTIF(N$2:N208,"Overdue")+COUNTIF(N$2:N208,"Due this week"),"")</f>
        <v/>
      </c>
    </row>
    <row r="209" spans="13:16" x14ac:dyDescent="0.35">
      <c r="M209" t="str">
        <f t="shared" ca="1" si="6"/>
        <v/>
      </c>
      <c r="N209" t="str">
        <f t="shared" si="7"/>
        <v/>
      </c>
      <c r="P209" t="str">
        <f>IF(OR(N209="Overdue",N209="Due this week"),COUNTIF(N$2:N209,"Overdue")+COUNTIF(N$2:N209,"Due this week"),"")</f>
        <v/>
      </c>
    </row>
    <row r="210" spans="13:16" x14ac:dyDescent="0.35">
      <c r="M210" t="str">
        <f t="shared" ca="1" si="6"/>
        <v/>
      </c>
      <c r="N210" t="str">
        <f t="shared" si="7"/>
        <v/>
      </c>
      <c r="P210" t="str">
        <f>IF(OR(N210="Overdue",N210="Due this week"),COUNTIF(N$2:N210,"Overdue")+COUNTIF(N$2:N210,"Due this week"),"")</f>
        <v/>
      </c>
    </row>
    <row r="211" spans="13:16" x14ac:dyDescent="0.35">
      <c r="M211" t="str">
        <f t="shared" ca="1" si="6"/>
        <v/>
      </c>
      <c r="N211" t="str">
        <f t="shared" si="7"/>
        <v/>
      </c>
      <c r="P211" t="str">
        <f>IF(OR(N211="Overdue",N211="Due this week"),COUNTIF(N$2:N211,"Overdue")+COUNTIF(N$2:N211,"Due this week"),"")</f>
        <v/>
      </c>
    </row>
    <row r="212" spans="13:16" x14ac:dyDescent="0.35">
      <c r="M212" t="str">
        <f t="shared" ca="1" si="6"/>
        <v/>
      </c>
      <c r="N212" t="str">
        <f t="shared" si="7"/>
        <v/>
      </c>
      <c r="P212" t="str">
        <f>IF(OR(N212="Overdue",N212="Due this week"),COUNTIF(N$2:N212,"Overdue")+COUNTIF(N$2:N212,"Due this week"),"")</f>
        <v/>
      </c>
    </row>
    <row r="213" spans="13:16" x14ac:dyDescent="0.35">
      <c r="M213" t="str">
        <f t="shared" ca="1" si="6"/>
        <v/>
      </c>
      <c r="N213" t="str">
        <f t="shared" si="7"/>
        <v/>
      </c>
      <c r="P213" t="str">
        <f>IF(OR(N213="Overdue",N213="Due this week"),COUNTIF(N$2:N213,"Overdue")+COUNTIF(N$2:N213,"Due this week"),"")</f>
        <v/>
      </c>
    </row>
    <row r="214" spans="13:16" x14ac:dyDescent="0.35">
      <c r="M214" t="str">
        <f t="shared" ca="1" si="6"/>
        <v/>
      </c>
      <c r="N214" t="str">
        <f t="shared" si="7"/>
        <v/>
      </c>
      <c r="P214" t="str">
        <f>IF(OR(N214="Overdue",N214="Due this week"),COUNTIF(N$2:N214,"Overdue")+COUNTIF(N$2:N214,"Due this week"),"")</f>
        <v/>
      </c>
    </row>
    <row r="215" spans="13:16" x14ac:dyDescent="0.35">
      <c r="M215" t="str">
        <f t="shared" ca="1" si="6"/>
        <v/>
      </c>
      <c r="N215" t="str">
        <f t="shared" si="7"/>
        <v/>
      </c>
      <c r="P215" t="str">
        <f>IF(OR(N215="Overdue",N215="Due this week"),COUNTIF(N$2:N215,"Overdue")+COUNTIF(N$2:N215,"Due this week"),"")</f>
        <v/>
      </c>
    </row>
    <row r="216" spans="13:16" x14ac:dyDescent="0.35">
      <c r="M216" t="str">
        <f t="shared" ca="1" si="6"/>
        <v/>
      </c>
      <c r="N216" t="str">
        <f t="shared" si="7"/>
        <v/>
      </c>
      <c r="P216" t="str">
        <f>IF(OR(N216="Overdue",N216="Due this week"),COUNTIF(N$2:N216,"Overdue")+COUNTIF(N$2:N216,"Due this week"),"")</f>
        <v/>
      </c>
    </row>
    <row r="217" spans="13:16" x14ac:dyDescent="0.35">
      <c r="M217" t="str">
        <f t="shared" ca="1" si="6"/>
        <v/>
      </c>
      <c r="N217" t="str">
        <f t="shared" si="7"/>
        <v/>
      </c>
      <c r="P217" t="str">
        <f>IF(OR(N217="Overdue",N217="Due this week"),COUNTIF(N$2:N217,"Overdue")+COUNTIF(N$2:N217,"Due this week"),"")</f>
        <v/>
      </c>
    </row>
    <row r="218" spans="13:16" x14ac:dyDescent="0.35">
      <c r="M218" t="str">
        <f t="shared" ca="1" si="6"/>
        <v/>
      </c>
      <c r="N218" t="str">
        <f t="shared" si="7"/>
        <v/>
      </c>
      <c r="P218" t="str">
        <f>IF(OR(N218="Overdue",N218="Due this week"),COUNTIF(N$2:N218,"Overdue")+COUNTIF(N$2:N218,"Due this week"),"")</f>
        <v/>
      </c>
    </row>
    <row r="219" spans="13:16" x14ac:dyDescent="0.35">
      <c r="M219" t="str">
        <f t="shared" ca="1" si="6"/>
        <v/>
      </c>
      <c r="N219" t="str">
        <f t="shared" si="7"/>
        <v/>
      </c>
      <c r="P219" t="str">
        <f>IF(OR(N219="Overdue",N219="Due this week"),COUNTIF(N$2:N219,"Overdue")+COUNTIF(N$2:N219,"Due this week"),"")</f>
        <v/>
      </c>
    </row>
    <row r="220" spans="13:16" x14ac:dyDescent="0.35">
      <c r="M220" t="str">
        <f t="shared" ca="1" si="6"/>
        <v/>
      </c>
      <c r="N220" t="str">
        <f t="shared" si="7"/>
        <v/>
      </c>
      <c r="P220" t="str">
        <f>IF(OR(N220="Overdue",N220="Due this week"),COUNTIF(N$2:N220,"Overdue")+COUNTIF(N$2:N220,"Due this week"),"")</f>
        <v/>
      </c>
    </row>
    <row r="221" spans="13:16" x14ac:dyDescent="0.35">
      <c r="M221" t="str">
        <f t="shared" ca="1" si="6"/>
        <v/>
      </c>
      <c r="N221" t="str">
        <f t="shared" si="7"/>
        <v/>
      </c>
      <c r="P221" t="str">
        <f>IF(OR(N221="Overdue",N221="Due this week"),COUNTIF(N$2:N221,"Overdue")+COUNTIF(N$2:N221,"Due this week"),"")</f>
        <v/>
      </c>
    </row>
    <row r="222" spans="13:16" x14ac:dyDescent="0.35">
      <c r="M222" t="str">
        <f t="shared" ca="1" si="6"/>
        <v/>
      </c>
      <c r="N222" t="str">
        <f t="shared" si="7"/>
        <v/>
      </c>
      <c r="P222" t="str">
        <f>IF(OR(N222="Overdue",N222="Due this week"),COUNTIF(N$2:N222,"Overdue")+COUNTIF(N$2:N222,"Due this week"),"")</f>
        <v/>
      </c>
    </row>
    <row r="223" spans="13:16" x14ac:dyDescent="0.35">
      <c r="M223" t="str">
        <f t="shared" ca="1" si="6"/>
        <v/>
      </c>
      <c r="N223" t="str">
        <f t="shared" si="7"/>
        <v/>
      </c>
      <c r="P223" t="str">
        <f>IF(OR(N223="Overdue",N223="Due this week"),COUNTIF(N$2:N223,"Overdue")+COUNTIF(N$2:N223,"Due this week"),"")</f>
        <v/>
      </c>
    </row>
    <row r="224" spans="13:16" x14ac:dyDescent="0.35">
      <c r="M224" t="str">
        <f t="shared" ca="1" si="6"/>
        <v/>
      </c>
      <c r="N224" t="str">
        <f t="shared" si="7"/>
        <v/>
      </c>
      <c r="P224" t="str">
        <f>IF(OR(N224="Overdue",N224="Due this week"),COUNTIF(N$2:N224,"Overdue")+COUNTIF(N$2:N224,"Due this week"),"")</f>
        <v/>
      </c>
    </row>
    <row r="225" spans="13:16" x14ac:dyDescent="0.35">
      <c r="M225" t="str">
        <f t="shared" ca="1" si="6"/>
        <v/>
      </c>
      <c r="N225" t="str">
        <f t="shared" si="7"/>
        <v/>
      </c>
      <c r="P225" t="str">
        <f>IF(OR(N225="Overdue",N225="Due this week"),COUNTIF(N$2:N225,"Overdue")+COUNTIF(N$2:N225,"Due this week"),"")</f>
        <v/>
      </c>
    </row>
    <row r="226" spans="13:16" x14ac:dyDescent="0.35">
      <c r="M226" t="str">
        <f t="shared" ca="1" si="6"/>
        <v/>
      </c>
      <c r="N226" t="str">
        <f t="shared" si="7"/>
        <v/>
      </c>
      <c r="P226" t="str">
        <f>IF(OR(N226="Overdue",N226="Due this week"),COUNTIF(N$2:N226,"Overdue")+COUNTIF(N$2:N226,"Due this week"),"")</f>
        <v/>
      </c>
    </row>
    <row r="227" spans="13:16" x14ac:dyDescent="0.35">
      <c r="M227" t="str">
        <f t="shared" ca="1" si="6"/>
        <v/>
      </c>
      <c r="N227" t="str">
        <f t="shared" si="7"/>
        <v/>
      </c>
      <c r="P227" t="str">
        <f>IF(OR(N227="Overdue",N227="Due this week"),COUNTIF(N$2:N227,"Overdue")+COUNTIF(N$2:N227,"Due this week"),"")</f>
        <v/>
      </c>
    </row>
    <row r="228" spans="13:16" x14ac:dyDescent="0.35">
      <c r="M228" t="str">
        <f t="shared" ca="1" si="6"/>
        <v/>
      </c>
      <c r="N228" t="str">
        <f t="shared" si="7"/>
        <v/>
      </c>
      <c r="P228" t="str">
        <f>IF(OR(N228="Overdue",N228="Due this week"),COUNTIF(N$2:N228,"Overdue")+COUNTIF(N$2:N228,"Due this week"),"")</f>
        <v/>
      </c>
    </row>
    <row r="229" spans="13:16" x14ac:dyDescent="0.35">
      <c r="M229" t="str">
        <f t="shared" ca="1" si="6"/>
        <v/>
      </c>
      <c r="N229" t="str">
        <f t="shared" si="7"/>
        <v/>
      </c>
      <c r="P229" t="str">
        <f>IF(OR(N229="Overdue",N229="Due this week"),COUNTIF(N$2:N229,"Overdue")+COUNTIF(N$2:N229,"Due this week"),"")</f>
        <v/>
      </c>
    </row>
    <row r="230" spans="13:16" x14ac:dyDescent="0.35">
      <c r="M230" t="str">
        <f t="shared" ca="1" si="6"/>
        <v/>
      </c>
      <c r="N230" t="str">
        <f t="shared" si="7"/>
        <v/>
      </c>
      <c r="P230" t="str">
        <f>IF(OR(N230="Overdue",N230="Due this week"),COUNTIF(N$2:N230,"Overdue")+COUNTIF(N$2:N230,"Due this week"),"")</f>
        <v/>
      </c>
    </row>
    <row r="231" spans="13:16" x14ac:dyDescent="0.35">
      <c r="M231" t="str">
        <f t="shared" ca="1" si="6"/>
        <v/>
      </c>
      <c r="N231" t="str">
        <f t="shared" si="7"/>
        <v/>
      </c>
      <c r="P231" t="str">
        <f>IF(OR(N231="Overdue",N231="Due this week"),COUNTIF(N$2:N231,"Overdue")+COUNTIF(N$2:N231,"Due this week"),"")</f>
        <v/>
      </c>
    </row>
    <row r="232" spans="13:16" x14ac:dyDescent="0.35">
      <c r="M232" t="str">
        <f t="shared" ca="1" si="6"/>
        <v/>
      </c>
      <c r="N232" t="str">
        <f t="shared" si="7"/>
        <v/>
      </c>
      <c r="P232" t="str">
        <f>IF(OR(N232="Overdue",N232="Due this week"),COUNTIF(N$2:N232,"Overdue")+COUNTIF(N$2:N232,"Due this week"),"")</f>
        <v/>
      </c>
    </row>
    <row r="233" spans="13:16" x14ac:dyDescent="0.35">
      <c r="M233" t="str">
        <f t="shared" ca="1" si="6"/>
        <v/>
      </c>
      <c r="N233" t="str">
        <f t="shared" si="7"/>
        <v/>
      </c>
      <c r="P233" t="str">
        <f>IF(OR(N233="Overdue",N233="Due this week"),COUNTIF(N$2:N233,"Overdue")+COUNTIF(N$2:N233,"Due this week"),"")</f>
        <v/>
      </c>
    </row>
    <row r="234" spans="13:16" x14ac:dyDescent="0.35">
      <c r="M234" t="str">
        <f t="shared" ca="1" si="6"/>
        <v/>
      </c>
      <c r="N234" t="str">
        <f t="shared" si="7"/>
        <v/>
      </c>
      <c r="P234" t="str">
        <f>IF(OR(N234="Overdue",N234="Due this week"),COUNTIF(N$2:N234,"Overdue")+COUNTIF(N$2:N234,"Due this week"),"")</f>
        <v/>
      </c>
    </row>
    <row r="235" spans="13:16" x14ac:dyDescent="0.35">
      <c r="M235" t="str">
        <f t="shared" ca="1" si="6"/>
        <v/>
      </c>
      <c r="N235" t="str">
        <f t="shared" si="7"/>
        <v/>
      </c>
      <c r="P235" t="str">
        <f>IF(OR(N235="Overdue",N235="Due this week"),COUNTIF(N$2:N235,"Overdue")+COUNTIF(N$2:N235,"Due this week"),"")</f>
        <v/>
      </c>
    </row>
    <row r="236" spans="13:16" x14ac:dyDescent="0.35">
      <c r="M236" t="str">
        <f t="shared" ca="1" si="6"/>
        <v/>
      </c>
      <c r="N236" t="str">
        <f t="shared" si="7"/>
        <v/>
      </c>
      <c r="P236" t="str">
        <f>IF(OR(N236="Overdue",N236="Due this week"),COUNTIF(N$2:N236,"Overdue")+COUNTIF(N$2:N236,"Due this week"),"")</f>
        <v/>
      </c>
    </row>
    <row r="237" spans="13:16" x14ac:dyDescent="0.35">
      <c r="M237" t="str">
        <f t="shared" ca="1" si="6"/>
        <v/>
      </c>
      <c r="N237" t="str">
        <f t="shared" si="7"/>
        <v/>
      </c>
      <c r="P237" t="str">
        <f>IF(OR(N237="Overdue",N237="Due this week"),COUNTIF(N$2:N237,"Overdue")+COUNTIF(N$2:N237,"Due this week"),"")</f>
        <v/>
      </c>
    </row>
    <row r="238" spans="13:16" x14ac:dyDescent="0.35">
      <c r="M238" t="str">
        <f t="shared" ca="1" si="6"/>
        <v/>
      </c>
      <c r="N238" t="str">
        <f t="shared" si="7"/>
        <v/>
      </c>
      <c r="P238" t="str">
        <f>IF(OR(N238="Overdue",N238="Due this week"),COUNTIF(N$2:N238,"Overdue")+COUNTIF(N$2:N238,"Due this week"),"")</f>
        <v/>
      </c>
    </row>
    <row r="239" spans="13:16" x14ac:dyDescent="0.35">
      <c r="M239" t="str">
        <f t="shared" ca="1" si="6"/>
        <v/>
      </c>
      <c r="N239" t="str">
        <f t="shared" si="7"/>
        <v/>
      </c>
      <c r="P239" t="str">
        <f>IF(OR(N239="Overdue",N239="Due this week"),COUNTIF(N$2:N239,"Overdue")+COUNTIF(N$2:N239,"Due this week"),"")</f>
        <v/>
      </c>
    </row>
    <row r="240" spans="13:16" x14ac:dyDescent="0.35">
      <c r="M240" t="str">
        <f t="shared" ca="1" si="6"/>
        <v/>
      </c>
      <c r="N240" t="str">
        <f t="shared" si="7"/>
        <v/>
      </c>
      <c r="P240" t="str">
        <f>IF(OR(N240="Overdue",N240="Due this week"),COUNTIF(N$2:N240,"Overdue")+COUNTIF(N$2:N240,"Due this week"),"")</f>
        <v/>
      </c>
    </row>
    <row r="241" spans="13:16" x14ac:dyDescent="0.35">
      <c r="M241" t="str">
        <f t="shared" ca="1" si="6"/>
        <v/>
      </c>
      <c r="N241" t="str">
        <f t="shared" si="7"/>
        <v/>
      </c>
      <c r="P241" t="str">
        <f>IF(OR(N241="Overdue",N241="Due this week"),COUNTIF(N$2:N241,"Overdue")+COUNTIF(N$2:N241,"Due this week"),"")</f>
        <v/>
      </c>
    </row>
    <row r="242" spans="13:16" x14ac:dyDescent="0.35">
      <c r="M242" t="str">
        <f t="shared" ca="1" si="6"/>
        <v/>
      </c>
      <c r="N242" t="str">
        <f t="shared" si="7"/>
        <v/>
      </c>
      <c r="P242" t="str">
        <f>IF(OR(N242="Overdue",N242="Due this week"),COUNTIF(N$2:N242,"Overdue")+COUNTIF(N$2:N242,"Due this week"),"")</f>
        <v/>
      </c>
    </row>
    <row r="243" spans="13:16" x14ac:dyDescent="0.35">
      <c r="M243" t="str">
        <f t="shared" ca="1" si="6"/>
        <v/>
      </c>
      <c r="N243" t="str">
        <f t="shared" si="7"/>
        <v/>
      </c>
      <c r="P243" t="str">
        <f>IF(OR(N243="Overdue",N243="Due this week"),COUNTIF(N$2:N243,"Overdue")+COUNTIF(N$2:N243,"Due this week"),"")</f>
        <v/>
      </c>
    </row>
    <row r="244" spans="13:16" x14ac:dyDescent="0.35">
      <c r="M244" t="str">
        <f t="shared" ca="1" si="6"/>
        <v/>
      </c>
      <c r="N244" t="str">
        <f t="shared" si="7"/>
        <v/>
      </c>
      <c r="P244" t="str">
        <f>IF(OR(N244="Overdue",N244="Due this week"),COUNTIF(N$2:N244,"Overdue")+COUNTIF(N$2:N244,"Due this week"),"")</f>
        <v/>
      </c>
    </row>
    <row r="245" spans="13:16" x14ac:dyDescent="0.35">
      <c r="M245" t="str">
        <f t="shared" ca="1" si="6"/>
        <v/>
      </c>
      <c r="N245" t="str">
        <f t="shared" si="7"/>
        <v/>
      </c>
      <c r="P245" t="str">
        <f>IF(OR(N245="Overdue",N245="Due this week"),COUNTIF(N$2:N245,"Overdue")+COUNTIF(N$2:N245,"Due this week"),"")</f>
        <v/>
      </c>
    </row>
    <row r="246" spans="13:16" x14ac:dyDescent="0.35">
      <c r="M246" t="str">
        <f t="shared" ca="1" si="6"/>
        <v/>
      </c>
      <c r="N246" t="str">
        <f t="shared" si="7"/>
        <v/>
      </c>
      <c r="P246" t="str">
        <f>IF(OR(N246="Overdue",N246="Due this week"),COUNTIF(N$2:N246,"Overdue")+COUNTIF(N$2:N246,"Due this week"),"")</f>
        <v/>
      </c>
    </row>
    <row r="247" spans="13:16" x14ac:dyDescent="0.35">
      <c r="M247" t="str">
        <f t="shared" ca="1" si="6"/>
        <v/>
      </c>
      <c r="N247" t="str">
        <f t="shared" si="7"/>
        <v/>
      </c>
      <c r="P247" t="str">
        <f>IF(OR(N247="Overdue",N247="Due this week"),COUNTIF(N$2:N247,"Overdue")+COUNTIF(N$2:N247,"Due this week"),"")</f>
        <v/>
      </c>
    </row>
    <row r="248" spans="13:16" x14ac:dyDescent="0.35">
      <c r="M248" t="str">
        <f t="shared" ca="1" si="6"/>
        <v/>
      </c>
      <c r="N248" t="str">
        <f t="shared" si="7"/>
        <v/>
      </c>
      <c r="P248" t="str">
        <f>IF(OR(N248="Overdue",N248="Due this week"),COUNTIF(N$2:N248,"Overdue")+COUNTIF(N$2:N248,"Due this week"),"")</f>
        <v/>
      </c>
    </row>
    <row r="249" spans="13:16" x14ac:dyDescent="0.35">
      <c r="M249" t="str">
        <f t="shared" ca="1" si="6"/>
        <v/>
      </c>
      <c r="N249" t="str">
        <f t="shared" si="7"/>
        <v/>
      </c>
      <c r="P249" t="str">
        <f>IF(OR(N249="Overdue",N249="Due this week"),COUNTIF(N$2:N249,"Overdue")+COUNTIF(N$2:N249,"Due this week"),"")</f>
        <v/>
      </c>
    </row>
    <row r="250" spans="13:16" x14ac:dyDescent="0.35">
      <c r="M250" t="str">
        <f t="shared" ca="1" si="6"/>
        <v/>
      </c>
      <c r="N250" t="str">
        <f t="shared" si="7"/>
        <v/>
      </c>
      <c r="P250" t="str">
        <f>IF(OR(N250="Overdue",N250="Due this week"),COUNTIF(N$2:N250,"Overdue")+COUNTIF(N$2:N250,"Due this week"),"")</f>
        <v/>
      </c>
    </row>
    <row r="251" spans="13:16" x14ac:dyDescent="0.35">
      <c r="M251" t="str">
        <f t="shared" ca="1" si="6"/>
        <v/>
      </c>
      <c r="N251" t="str">
        <f t="shared" si="7"/>
        <v/>
      </c>
      <c r="P251" t="str">
        <f>IF(OR(N251="Overdue",N251="Due this week"),COUNTIF(N$2:N251,"Overdue")+COUNTIF(N$2:N251,"Due this week"),"")</f>
        <v/>
      </c>
    </row>
    <row r="252" spans="13:16" x14ac:dyDescent="0.35">
      <c r="M252" t="str">
        <f t="shared" ca="1" si="6"/>
        <v/>
      </c>
      <c r="N252" t="str">
        <f t="shared" si="7"/>
        <v/>
      </c>
      <c r="P252" t="str">
        <f>IF(OR(N252="Overdue",N252="Due this week"),COUNTIF(N$2:N252,"Overdue")+COUNTIF(N$2:N252,"Due this week"),"")</f>
        <v/>
      </c>
    </row>
    <row r="253" spans="13:16" x14ac:dyDescent="0.35">
      <c r="M253" t="str">
        <f t="shared" ca="1" si="6"/>
        <v/>
      </c>
      <c r="N253" t="str">
        <f t="shared" si="7"/>
        <v/>
      </c>
      <c r="P253" t="str">
        <f>IF(OR(N253="Overdue",N253="Due this week"),COUNTIF(N$2:N253,"Overdue")+COUNTIF(N$2:N253,"Due this week"),"")</f>
        <v/>
      </c>
    </row>
    <row r="254" spans="13:16" x14ac:dyDescent="0.35">
      <c r="M254" t="str">
        <f t="shared" ca="1" si="6"/>
        <v/>
      </c>
      <c r="N254" t="str">
        <f t="shared" si="7"/>
        <v/>
      </c>
      <c r="P254" t="str">
        <f>IF(OR(N254="Overdue",N254="Due this week"),COUNTIF(N$2:N254,"Overdue")+COUNTIF(N$2:N254,"Due this week"),"")</f>
        <v/>
      </c>
    </row>
    <row r="255" spans="13:16" x14ac:dyDescent="0.35">
      <c r="M255" t="str">
        <f t="shared" ca="1" si="6"/>
        <v/>
      </c>
      <c r="N255" t="str">
        <f t="shared" si="7"/>
        <v/>
      </c>
      <c r="P255" t="str">
        <f>IF(OR(N255="Overdue",N255="Due this week"),COUNTIF(N$2:N255,"Overdue")+COUNTIF(N$2:N255,"Due this week"),"")</f>
        <v/>
      </c>
    </row>
    <row r="256" spans="13:16" x14ac:dyDescent="0.35">
      <c r="M256" t="str">
        <f t="shared" ca="1" si="6"/>
        <v/>
      </c>
      <c r="N256" t="str">
        <f t="shared" si="7"/>
        <v/>
      </c>
      <c r="P256" t="str">
        <f>IF(OR(N256="Overdue",N256="Due this week"),COUNTIF(N$2:N256,"Overdue")+COUNTIF(N$2:N256,"Due this week"),"")</f>
        <v/>
      </c>
    </row>
    <row r="257" spans="13:16" x14ac:dyDescent="0.35">
      <c r="M257" t="str">
        <f t="shared" ca="1" si="6"/>
        <v/>
      </c>
      <c r="N257" t="str">
        <f t="shared" si="7"/>
        <v/>
      </c>
      <c r="P257" t="str">
        <f>IF(OR(N257="Overdue",N257="Due this week"),COUNTIF(N$2:N257,"Overdue")+COUNTIF(N$2:N257,"Due this week"),"")</f>
        <v/>
      </c>
    </row>
    <row r="258" spans="13:16" x14ac:dyDescent="0.35">
      <c r="M258" t="str">
        <f t="shared" ca="1" si="6"/>
        <v/>
      </c>
      <c r="N258" t="str">
        <f t="shared" si="7"/>
        <v/>
      </c>
      <c r="P258" t="str">
        <f>IF(OR(N258="Overdue",N258="Due this week"),COUNTIF(N$2:N258,"Overdue")+COUNTIF(N$2:N258,"Due this week"),"")</f>
        <v/>
      </c>
    </row>
    <row r="259" spans="13:16" x14ac:dyDescent="0.35">
      <c r="M259" t="str">
        <f t="shared" ref="M259:M301" ca="1" si="8">IF(OR(L259="",I259="Arrived",I259="Withdrawn"),"",L259-TODAY())</f>
        <v/>
      </c>
      <c r="N259" t="str">
        <f t="shared" ref="N259:N301" si="9">IF(A259="","",IF(OR(I259="Arrived",I259="Withdrawn"),"Closed",IF(M259="","No deadline",IF(M259&lt;0,"Overdue",IF(M259&lt;=7,"Due this week",IF(M259&lt;=14,"Due soon","On track"))))))</f>
        <v/>
      </c>
      <c r="P259" t="str">
        <f>IF(OR(N259="Overdue",N259="Due this week"),COUNTIF(N$2:N259,"Overdue")+COUNTIF(N$2:N259,"Due this week"),"")</f>
        <v/>
      </c>
    </row>
    <row r="260" spans="13:16" x14ac:dyDescent="0.35">
      <c r="M260" t="str">
        <f t="shared" ca="1" si="8"/>
        <v/>
      </c>
      <c r="N260" t="str">
        <f t="shared" si="9"/>
        <v/>
      </c>
      <c r="P260" t="str">
        <f>IF(OR(N260="Overdue",N260="Due this week"),COUNTIF(N$2:N260,"Overdue")+COUNTIF(N$2:N260,"Due this week"),"")</f>
        <v/>
      </c>
    </row>
    <row r="261" spans="13:16" x14ac:dyDescent="0.35">
      <c r="M261" t="str">
        <f t="shared" ca="1" si="8"/>
        <v/>
      </c>
      <c r="N261" t="str">
        <f t="shared" si="9"/>
        <v/>
      </c>
      <c r="P261" t="str">
        <f>IF(OR(N261="Overdue",N261="Due this week"),COUNTIF(N$2:N261,"Overdue")+COUNTIF(N$2:N261,"Due this week"),"")</f>
        <v/>
      </c>
    </row>
    <row r="262" spans="13:16" x14ac:dyDescent="0.35">
      <c r="M262" t="str">
        <f t="shared" ca="1" si="8"/>
        <v/>
      </c>
      <c r="N262" t="str">
        <f t="shared" si="9"/>
        <v/>
      </c>
      <c r="P262" t="str">
        <f>IF(OR(N262="Overdue",N262="Due this week"),COUNTIF(N$2:N262,"Overdue")+COUNTIF(N$2:N262,"Due this week"),"")</f>
        <v/>
      </c>
    </row>
    <row r="263" spans="13:16" x14ac:dyDescent="0.35">
      <c r="M263" t="str">
        <f t="shared" ca="1" si="8"/>
        <v/>
      </c>
      <c r="N263" t="str">
        <f t="shared" si="9"/>
        <v/>
      </c>
      <c r="P263" t="str">
        <f>IF(OR(N263="Overdue",N263="Due this week"),COUNTIF(N$2:N263,"Overdue")+COUNTIF(N$2:N263,"Due this week"),"")</f>
        <v/>
      </c>
    </row>
    <row r="264" spans="13:16" x14ac:dyDescent="0.35">
      <c r="M264" t="str">
        <f t="shared" ca="1" si="8"/>
        <v/>
      </c>
      <c r="N264" t="str">
        <f t="shared" si="9"/>
        <v/>
      </c>
      <c r="P264" t="str">
        <f>IF(OR(N264="Overdue",N264="Due this week"),COUNTIF(N$2:N264,"Overdue")+COUNTIF(N$2:N264,"Due this week"),"")</f>
        <v/>
      </c>
    </row>
    <row r="265" spans="13:16" x14ac:dyDescent="0.35">
      <c r="M265" t="str">
        <f t="shared" ca="1" si="8"/>
        <v/>
      </c>
      <c r="N265" t="str">
        <f t="shared" si="9"/>
        <v/>
      </c>
      <c r="P265" t="str">
        <f>IF(OR(N265="Overdue",N265="Due this week"),COUNTIF(N$2:N265,"Overdue")+COUNTIF(N$2:N265,"Due this week"),"")</f>
        <v/>
      </c>
    </row>
    <row r="266" spans="13:16" x14ac:dyDescent="0.35">
      <c r="M266" t="str">
        <f t="shared" ca="1" si="8"/>
        <v/>
      </c>
      <c r="N266" t="str">
        <f t="shared" si="9"/>
        <v/>
      </c>
      <c r="P266" t="str">
        <f>IF(OR(N266="Overdue",N266="Due this week"),COUNTIF(N$2:N266,"Overdue")+COUNTIF(N$2:N266,"Due this week"),"")</f>
        <v/>
      </c>
    </row>
    <row r="267" spans="13:16" x14ac:dyDescent="0.35">
      <c r="M267" t="str">
        <f t="shared" ca="1" si="8"/>
        <v/>
      </c>
      <c r="N267" t="str">
        <f t="shared" si="9"/>
        <v/>
      </c>
      <c r="P267" t="str">
        <f>IF(OR(N267="Overdue",N267="Due this week"),COUNTIF(N$2:N267,"Overdue")+COUNTIF(N$2:N267,"Due this week"),"")</f>
        <v/>
      </c>
    </row>
    <row r="268" spans="13:16" x14ac:dyDescent="0.35">
      <c r="M268" t="str">
        <f t="shared" ca="1" si="8"/>
        <v/>
      </c>
      <c r="N268" t="str">
        <f t="shared" si="9"/>
        <v/>
      </c>
      <c r="P268" t="str">
        <f>IF(OR(N268="Overdue",N268="Due this week"),COUNTIF(N$2:N268,"Overdue")+COUNTIF(N$2:N268,"Due this week"),"")</f>
        <v/>
      </c>
    </row>
    <row r="269" spans="13:16" x14ac:dyDescent="0.35">
      <c r="M269" t="str">
        <f t="shared" ca="1" si="8"/>
        <v/>
      </c>
      <c r="N269" t="str">
        <f t="shared" si="9"/>
        <v/>
      </c>
      <c r="P269" t="str">
        <f>IF(OR(N269="Overdue",N269="Due this week"),COUNTIF(N$2:N269,"Overdue")+COUNTIF(N$2:N269,"Due this week"),"")</f>
        <v/>
      </c>
    </row>
    <row r="270" spans="13:16" x14ac:dyDescent="0.35">
      <c r="M270" t="str">
        <f t="shared" ca="1" si="8"/>
        <v/>
      </c>
      <c r="N270" t="str">
        <f t="shared" si="9"/>
        <v/>
      </c>
      <c r="P270" t="str">
        <f>IF(OR(N270="Overdue",N270="Due this week"),COUNTIF(N$2:N270,"Overdue")+COUNTIF(N$2:N270,"Due this week"),"")</f>
        <v/>
      </c>
    </row>
    <row r="271" spans="13:16" x14ac:dyDescent="0.35">
      <c r="M271" t="str">
        <f t="shared" ca="1" si="8"/>
        <v/>
      </c>
      <c r="N271" t="str">
        <f t="shared" si="9"/>
        <v/>
      </c>
      <c r="P271" t="str">
        <f>IF(OR(N271="Overdue",N271="Due this week"),COUNTIF(N$2:N271,"Overdue")+COUNTIF(N$2:N271,"Due this week"),"")</f>
        <v/>
      </c>
    </row>
    <row r="272" spans="13:16" x14ac:dyDescent="0.35">
      <c r="M272" t="str">
        <f t="shared" ca="1" si="8"/>
        <v/>
      </c>
      <c r="N272" t="str">
        <f t="shared" si="9"/>
        <v/>
      </c>
      <c r="P272" t="str">
        <f>IF(OR(N272="Overdue",N272="Due this week"),COUNTIF(N$2:N272,"Overdue")+COUNTIF(N$2:N272,"Due this week"),"")</f>
        <v/>
      </c>
    </row>
    <row r="273" spans="13:16" x14ac:dyDescent="0.35">
      <c r="M273" t="str">
        <f t="shared" ca="1" si="8"/>
        <v/>
      </c>
      <c r="N273" t="str">
        <f t="shared" si="9"/>
        <v/>
      </c>
      <c r="P273" t="str">
        <f>IF(OR(N273="Overdue",N273="Due this week"),COUNTIF(N$2:N273,"Overdue")+COUNTIF(N$2:N273,"Due this week"),"")</f>
        <v/>
      </c>
    </row>
    <row r="274" spans="13:16" x14ac:dyDescent="0.35">
      <c r="M274" t="str">
        <f t="shared" ca="1" si="8"/>
        <v/>
      </c>
      <c r="N274" t="str">
        <f t="shared" si="9"/>
        <v/>
      </c>
      <c r="P274" t="str">
        <f>IF(OR(N274="Overdue",N274="Due this week"),COUNTIF(N$2:N274,"Overdue")+COUNTIF(N$2:N274,"Due this week"),"")</f>
        <v/>
      </c>
    </row>
    <row r="275" spans="13:16" x14ac:dyDescent="0.35">
      <c r="M275" t="str">
        <f t="shared" ca="1" si="8"/>
        <v/>
      </c>
      <c r="N275" t="str">
        <f t="shared" si="9"/>
        <v/>
      </c>
      <c r="P275" t="str">
        <f>IF(OR(N275="Overdue",N275="Due this week"),COUNTIF(N$2:N275,"Overdue")+COUNTIF(N$2:N275,"Due this week"),"")</f>
        <v/>
      </c>
    </row>
    <row r="276" spans="13:16" x14ac:dyDescent="0.35">
      <c r="M276" t="str">
        <f t="shared" ca="1" si="8"/>
        <v/>
      </c>
      <c r="N276" t="str">
        <f t="shared" si="9"/>
        <v/>
      </c>
      <c r="P276" t="str">
        <f>IF(OR(N276="Overdue",N276="Due this week"),COUNTIF(N$2:N276,"Overdue")+COUNTIF(N$2:N276,"Due this week"),"")</f>
        <v/>
      </c>
    </row>
    <row r="277" spans="13:16" x14ac:dyDescent="0.35">
      <c r="M277" t="str">
        <f t="shared" ca="1" si="8"/>
        <v/>
      </c>
      <c r="N277" t="str">
        <f t="shared" si="9"/>
        <v/>
      </c>
      <c r="P277" t="str">
        <f>IF(OR(N277="Overdue",N277="Due this week"),COUNTIF(N$2:N277,"Overdue")+COUNTIF(N$2:N277,"Due this week"),"")</f>
        <v/>
      </c>
    </row>
    <row r="278" spans="13:16" x14ac:dyDescent="0.35">
      <c r="M278" t="str">
        <f t="shared" ca="1" si="8"/>
        <v/>
      </c>
      <c r="N278" t="str">
        <f t="shared" si="9"/>
        <v/>
      </c>
      <c r="P278" t="str">
        <f>IF(OR(N278="Overdue",N278="Due this week"),COUNTIF(N$2:N278,"Overdue")+COUNTIF(N$2:N278,"Due this week"),"")</f>
        <v/>
      </c>
    </row>
    <row r="279" spans="13:16" x14ac:dyDescent="0.35">
      <c r="M279" t="str">
        <f t="shared" ca="1" si="8"/>
        <v/>
      </c>
      <c r="N279" t="str">
        <f t="shared" si="9"/>
        <v/>
      </c>
      <c r="P279" t="str">
        <f>IF(OR(N279="Overdue",N279="Due this week"),COUNTIF(N$2:N279,"Overdue")+COUNTIF(N$2:N279,"Due this week"),"")</f>
        <v/>
      </c>
    </row>
    <row r="280" spans="13:16" x14ac:dyDescent="0.35">
      <c r="M280" t="str">
        <f t="shared" ca="1" si="8"/>
        <v/>
      </c>
      <c r="N280" t="str">
        <f t="shared" si="9"/>
        <v/>
      </c>
      <c r="P280" t="str">
        <f>IF(OR(N280="Overdue",N280="Due this week"),COUNTIF(N$2:N280,"Overdue")+COUNTIF(N$2:N280,"Due this week"),"")</f>
        <v/>
      </c>
    </row>
    <row r="281" spans="13:16" x14ac:dyDescent="0.35">
      <c r="M281" t="str">
        <f t="shared" ca="1" si="8"/>
        <v/>
      </c>
      <c r="N281" t="str">
        <f t="shared" si="9"/>
        <v/>
      </c>
      <c r="P281" t="str">
        <f>IF(OR(N281="Overdue",N281="Due this week"),COUNTIF(N$2:N281,"Overdue")+COUNTIF(N$2:N281,"Due this week"),"")</f>
        <v/>
      </c>
    </row>
    <row r="282" spans="13:16" x14ac:dyDescent="0.35">
      <c r="M282" t="str">
        <f t="shared" ca="1" si="8"/>
        <v/>
      </c>
      <c r="N282" t="str">
        <f t="shared" si="9"/>
        <v/>
      </c>
      <c r="P282" t="str">
        <f>IF(OR(N282="Overdue",N282="Due this week"),COUNTIF(N$2:N282,"Overdue")+COUNTIF(N$2:N282,"Due this week"),"")</f>
        <v/>
      </c>
    </row>
    <row r="283" spans="13:16" x14ac:dyDescent="0.35">
      <c r="M283" t="str">
        <f t="shared" ca="1" si="8"/>
        <v/>
      </c>
      <c r="N283" t="str">
        <f t="shared" si="9"/>
        <v/>
      </c>
      <c r="P283" t="str">
        <f>IF(OR(N283="Overdue",N283="Due this week"),COUNTIF(N$2:N283,"Overdue")+COUNTIF(N$2:N283,"Due this week"),"")</f>
        <v/>
      </c>
    </row>
    <row r="284" spans="13:16" x14ac:dyDescent="0.35">
      <c r="M284" t="str">
        <f t="shared" ca="1" si="8"/>
        <v/>
      </c>
      <c r="N284" t="str">
        <f t="shared" si="9"/>
        <v/>
      </c>
      <c r="P284" t="str">
        <f>IF(OR(N284="Overdue",N284="Due this week"),COUNTIF(N$2:N284,"Overdue")+COUNTIF(N$2:N284,"Due this week"),"")</f>
        <v/>
      </c>
    </row>
    <row r="285" spans="13:16" x14ac:dyDescent="0.35">
      <c r="M285" t="str">
        <f t="shared" ca="1" si="8"/>
        <v/>
      </c>
      <c r="N285" t="str">
        <f t="shared" si="9"/>
        <v/>
      </c>
      <c r="P285" t="str">
        <f>IF(OR(N285="Overdue",N285="Due this week"),COUNTIF(N$2:N285,"Overdue")+COUNTIF(N$2:N285,"Due this week"),"")</f>
        <v/>
      </c>
    </row>
    <row r="286" spans="13:16" x14ac:dyDescent="0.35">
      <c r="M286" t="str">
        <f t="shared" ca="1" si="8"/>
        <v/>
      </c>
      <c r="N286" t="str">
        <f t="shared" si="9"/>
        <v/>
      </c>
      <c r="P286" t="str">
        <f>IF(OR(N286="Overdue",N286="Due this week"),COUNTIF(N$2:N286,"Overdue")+COUNTIF(N$2:N286,"Due this week"),"")</f>
        <v/>
      </c>
    </row>
    <row r="287" spans="13:16" x14ac:dyDescent="0.35">
      <c r="M287" t="str">
        <f t="shared" ca="1" si="8"/>
        <v/>
      </c>
      <c r="N287" t="str">
        <f t="shared" si="9"/>
        <v/>
      </c>
      <c r="P287" t="str">
        <f>IF(OR(N287="Overdue",N287="Due this week"),COUNTIF(N$2:N287,"Overdue")+COUNTIF(N$2:N287,"Due this week"),"")</f>
        <v/>
      </c>
    </row>
    <row r="288" spans="13:16" x14ac:dyDescent="0.35">
      <c r="M288" t="str">
        <f t="shared" ca="1" si="8"/>
        <v/>
      </c>
      <c r="N288" t="str">
        <f t="shared" si="9"/>
        <v/>
      </c>
      <c r="P288" t="str">
        <f>IF(OR(N288="Overdue",N288="Due this week"),COUNTIF(N$2:N288,"Overdue")+COUNTIF(N$2:N288,"Due this week"),"")</f>
        <v/>
      </c>
    </row>
    <row r="289" spans="13:16" x14ac:dyDescent="0.35">
      <c r="M289" t="str">
        <f t="shared" ca="1" si="8"/>
        <v/>
      </c>
      <c r="N289" t="str">
        <f t="shared" si="9"/>
        <v/>
      </c>
      <c r="P289" t="str">
        <f>IF(OR(N289="Overdue",N289="Due this week"),COUNTIF(N$2:N289,"Overdue")+COUNTIF(N$2:N289,"Due this week"),"")</f>
        <v/>
      </c>
    </row>
    <row r="290" spans="13:16" x14ac:dyDescent="0.35">
      <c r="M290" t="str">
        <f t="shared" ca="1" si="8"/>
        <v/>
      </c>
      <c r="N290" t="str">
        <f t="shared" si="9"/>
        <v/>
      </c>
      <c r="P290" t="str">
        <f>IF(OR(N290="Overdue",N290="Due this week"),COUNTIF(N$2:N290,"Overdue")+COUNTIF(N$2:N290,"Due this week"),"")</f>
        <v/>
      </c>
    </row>
    <row r="291" spans="13:16" x14ac:dyDescent="0.35">
      <c r="M291" t="str">
        <f t="shared" ca="1" si="8"/>
        <v/>
      </c>
      <c r="N291" t="str">
        <f t="shared" si="9"/>
        <v/>
      </c>
      <c r="P291" t="str">
        <f>IF(OR(N291="Overdue",N291="Due this week"),COUNTIF(N$2:N291,"Overdue")+COUNTIF(N$2:N291,"Due this week"),"")</f>
        <v/>
      </c>
    </row>
    <row r="292" spans="13:16" x14ac:dyDescent="0.35">
      <c r="M292" t="str">
        <f t="shared" ca="1" si="8"/>
        <v/>
      </c>
      <c r="N292" t="str">
        <f t="shared" si="9"/>
        <v/>
      </c>
      <c r="P292" t="str">
        <f>IF(OR(N292="Overdue",N292="Due this week"),COUNTIF(N$2:N292,"Overdue")+COUNTIF(N$2:N292,"Due this week"),"")</f>
        <v/>
      </c>
    </row>
    <row r="293" spans="13:16" x14ac:dyDescent="0.35">
      <c r="M293" t="str">
        <f t="shared" ca="1" si="8"/>
        <v/>
      </c>
      <c r="N293" t="str">
        <f t="shared" si="9"/>
        <v/>
      </c>
      <c r="P293" t="str">
        <f>IF(OR(N293="Overdue",N293="Due this week"),COUNTIF(N$2:N293,"Overdue")+COUNTIF(N$2:N293,"Due this week"),"")</f>
        <v/>
      </c>
    </row>
    <row r="294" spans="13:16" x14ac:dyDescent="0.35">
      <c r="M294" t="str">
        <f t="shared" ca="1" si="8"/>
        <v/>
      </c>
      <c r="N294" t="str">
        <f t="shared" si="9"/>
        <v/>
      </c>
      <c r="P294" t="str">
        <f>IF(OR(N294="Overdue",N294="Due this week"),COUNTIF(N$2:N294,"Overdue")+COUNTIF(N$2:N294,"Due this week"),"")</f>
        <v/>
      </c>
    </row>
    <row r="295" spans="13:16" x14ac:dyDescent="0.35">
      <c r="M295" t="str">
        <f t="shared" ca="1" si="8"/>
        <v/>
      </c>
      <c r="N295" t="str">
        <f t="shared" si="9"/>
        <v/>
      </c>
      <c r="P295" t="str">
        <f>IF(OR(N295="Overdue",N295="Due this week"),COUNTIF(N$2:N295,"Overdue")+COUNTIF(N$2:N295,"Due this week"),"")</f>
        <v/>
      </c>
    </row>
    <row r="296" spans="13:16" x14ac:dyDescent="0.35">
      <c r="M296" t="str">
        <f t="shared" ca="1" si="8"/>
        <v/>
      </c>
      <c r="N296" t="str">
        <f t="shared" si="9"/>
        <v/>
      </c>
      <c r="P296" t="str">
        <f>IF(OR(N296="Overdue",N296="Due this week"),COUNTIF(N$2:N296,"Overdue")+COUNTIF(N$2:N296,"Due this week"),"")</f>
        <v/>
      </c>
    </row>
    <row r="297" spans="13:16" x14ac:dyDescent="0.35">
      <c r="M297" t="str">
        <f t="shared" ca="1" si="8"/>
        <v/>
      </c>
      <c r="N297" t="str">
        <f t="shared" si="9"/>
        <v/>
      </c>
      <c r="P297" t="str">
        <f>IF(OR(N297="Overdue",N297="Due this week"),COUNTIF(N$2:N297,"Overdue")+COUNTIF(N$2:N297,"Due this week"),"")</f>
        <v/>
      </c>
    </row>
    <row r="298" spans="13:16" x14ac:dyDescent="0.35">
      <c r="M298" t="str">
        <f t="shared" ca="1" si="8"/>
        <v/>
      </c>
      <c r="N298" t="str">
        <f t="shared" si="9"/>
        <v/>
      </c>
      <c r="P298" t="str">
        <f>IF(OR(N298="Overdue",N298="Due this week"),COUNTIF(N$2:N298,"Overdue")+COUNTIF(N$2:N298,"Due this week"),"")</f>
        <v/>
      </c>
    </row>
    <row r="299" spans="13:16" x14ac:dyDescent="0.35">
      <c r="M299" t="str">
        <f t="shared" ca="1" si="8"/>
        <v/>
      </c>
      <c r="N299" t="str">
        <f t="shared" si="9"/>
        <v/>
      </c>
      <c r="P299" t="str">
        <f>IF(OR(N299="Overdue",N299="Due this week"),COUNTIF(N$2:N299,"Overdue")+COUNTIF(N$2:N299,"Due this week"),"")</f>
        <v/>
      </c>
    </row>
    <row r="300" spans="13:16" x14ac:dyDescent="0.35">
      <c r="M300" t="str">
        <f t="shared" ca="1" si="8"/>
        <v/>
      </c>
      <c r="N300" t="str">
        <f t="shared" si="9"/>
        <v/>
      </c>
      <c r="P300" t="str">
        <f>IF(OR(N300="Overdue",N300="Due this week"),COUNTIF(N$2:N300,"Overdue")+COUNTIF(N$2:N300,"Due this week"),"")</f>
        <v/>
      </c>
    </row>
    <row r="301" spans="13:16" x14ac:dyDescent="0.35">
      <c r="M301" t="str">
        <f t="shared" ca="1" si="8"/>
        <v/>
      </c>
      <c r="N301" t="str">
        <f t="shared" si="9"/>
        <v/>
      </c>
      <c r="P301" t="str">
        <f>IF(OR(N301="Overdue",N301="Due this week"),COUNTIF(N$2:N301,"Overdue")+COUNTIF(N$2:N301,"Due this week"),"")</f>
        <v/>
      </c>
    </row>
  </sheetData>
  <conditionalFormatting sqref="A9:O301 A8:B8 D8:O8 A2:P2 A7:O7 A6:B6 D6:O6 A3:O5">
    <cfRule type="expression" dxfId="12" priority="6">
      <formula>$N2="Closed"</formula>
    </cfRule>
    <cfRule type="expression" dxfId="11" priority="7">
      <formula>$N2="Due soon"</formula>
    </cfRule>
    <cfRule type="expression" dxfId="10" priority="8">
      <formula>$N2="Due this week"</formula>
    </cfRule>
    <cfRule type="expression" dxfId="9" priority="9">
      <formula>$N2="Overdue"</formula>
    </cfRule>
  </conditionalFormatting>
  <conditionalFormatting sqref="K2:K301">
    <cfRule type="expression" dxfId="8" priority="5">
      <formula>$K2&lt;&gt;""</formula>
    </cfRule>
  </conditionalFormatting>
  <conditionalFormatting sqref="C8">
    <cfRule type="expression" dxfId="7" priority="14">
      <formula>$N6="Closed"</formula>
    </cfRule>
    <cfRule type="expression" dxfId="6" priority="15">
      <formula>$N6="Due soon"</formula>
    </cfRule>
    <cfRule type="expression" dxfId="5" priority="16">
      <formula>$N6="Due this week"</formula>
    </cfRule>
    <cfRule type="expression" dxfId="4" priority="17">
      <formula>$N6="Overdue"</formula>
    </cfRule>
  </conditionalFormatting>
  <conditionalFormatting sqref="P3:P301">
    <cfRule type="expression" dxfId="3" priority="1">
      <formula>$N3="Closed"</formula>
    </cfRule>
    <cfRule type="expression" dxfId="2" priority="2">
      <formula>$N3="Due soon"</formula>
    </cfRule>
    <cfRule type="expression" dxfId="1" priority="3">
      <formula>$N3="Due this week"</formula>
    </cfRule>
    <cfRule type="expression" dxfId="0" priority="4">
      <formula>$N3="Overdue"</formula>
    </cfRule>
  </conditionalFormatting>
  <dataValidations count="1">
    <dataValidation type="date" operator="greaterThan" allowBlank="1" showInputMessage="1" showErrorMessage="1" error="Enter a valid date, e.g. 15/10/2026" sqref="H2:H301 L2:L301">
      <formula1>43831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error="Pick a status from the list">
          <x14:formula1>
            <xm:f>LISTS!$A$2:$A$8</xm:f>
          </x14:formula1>
          <xm:sqref>I2:I301</xm:sqref>
        </x14:dataValidation>
        <x14:dataValidation type="list" allowBlank="1" showInputMessage="1" showErrorMessage="1" error="Pick Dublin or Abuja">
          <x14:formula1>
            <xm:f>LISTS!$B$2:$B$3</xm:f>
          </x14:formula1>
          <xm:sqref>D2:D301</xm:sqref>
        </x14:dataValidation>
        <x14:dataValidation type="list" allowBlank="1" showInputMessage="1" showErrorMessage="1" error="Pick an intake from the list">
          <x14:formula1>
            <xm:f>LISTS!$C$2:$C$5</xm:f>
          </x14:formula1>
          <xm:sqref>G2:G301</xm:sqref>
        </x14:dataValidation>
        <x14:dataValidation type="list" allowBlank="1" showInputMessage="1" showErrorMessage="1" error="Enter Y or N">
          <x14:formula1>
            <xm:f>LISTS!$D$2:$D$3</xm:f>
          </x14:formula1>
          <xm:sqref>J2:J301</xm:sqref>
        </x14:dataValidation>
        <x14:dataValidation type="list" allowBlank="1" showInputMessage="1" showErrorMessage="1" error="Pick an owner from the list">
          <x14:formula1>
            <xm:f>LISTS!$E$2:$E$4</xm:f>
          </x14:formula1>
          <xm:sqref>O2:O301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E5" sqref="E5"/>
    </sheetView>
  </sheetViews>
  <sheetFormatPr defaultRowHeight="14.5" x14ac:dyDescent="0.35"/>
  <sheetData>
    <row r="1" spans="1:5" x14ac:dyDescent="0.35">
      <c r="A1" t="s">
        <v>8</v>
      </c>
      <c r="B1" t="s">
        <v>2</v>
      </c>
      <c r="C1" t="s">
        <v>6</v>
      </c>
      <c r="D1" t="s">
        <v>9</v>
      </c>
      <c r="E1" t="s">
        <v>14</v>
      </c>
    </row>
    <row r="2" spans="1:5" x14ac:dyDescent="0.35">
      <c r="A2" t="s">
        <v>16</v>
      </c>
      <c r="B2" t="s">
        <v>23</v>
      </c>
      <c r="C2" s="4">
        <v>46023</v>
      </c>
      <c r="D2" t="s">
        <v>25</v>
      </c>
      <c r="E2" t="s">
        <v>149</v>
      </c>
    </row>
    <row r="3" spans="1:5" x14ac:dyDescent="0.35">
      <c r="A3" t="s">
        <v>17</v>
      </c>
      <c r="B3" t="s">
        <v>24</v>
      </c>
      <c r="C3" s="4">
        <v>46266</v>
      </c>
      <c r="D3" t="s">
        <v>26</v>
      </c>
      <c r="E3" t="s">
        <v>150</v>
      </c>
    </row>
    <row r="4" spans="1:5" x14ac:dyDescent="0.35">
      <c r="A4" t="s">
        <v>18</v>
      </c>
      <c r="C4" s="4">
        <v>46388</v>
      </c>
      <c r="E4" t="s">
        <v>151</v>
      </c>
    </row>
    <row r="5" spans="1:5" x14ac:dyDescent="0.35">
      <c r="A5" t="s">
        <v>19</v>
      </c>
      <c r="C5" s="4">
        <v>46631</v>
      </c>
    </row>
    <row r="6" spans="1:5" x14ac:dyDescent="0.35">
      <c r="A6" t="s">
        <v>20</v>
      </c>
    </row>
    <row r="7" spans="1:5" x14ac:dyDescent="0.35">
      <c r="A7" t="s">
        <v>21</v>
      </c>
    </row>
    <row r="8" spans="1:5" x14ac:dyDescent="0.35">
      <c r="A8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workbookViewId="0">
      <selection activeCell="I16" sqref="I16"/>
    </sheetView>
  </sheetViews>
  <sheetFormatPr defaultRowHeight="14.5" x14ac:dyDescent="0.35"/>
  <cols>
    <col min="7" max="7" width="9.453125" bestFit="1" customWidth="1"/>
  </cols>
  <sheetData>
    <row r="1" spans="1:10" ht="18.5" x14ac:dyDescent="0.45">
      <c r="A1" s="5" t="s">
        <v>28</v>
      </c>
    </row>
    <row r="2" spans="1:10" x14ac:dyDescent="0.35">
      <c r="A2" t="str">
        <f ca="1">COUNTIF(APPLICANTS!N:N,"Overdue")&amp;" overdue, "&amp;COUNTIF(APPLICANTS!N:N,"Due this week")&amp;" due this week"</f>
        <v>12 overdue, 4 due this week</v>
      </c>
    </row>
    <row r="3" spans="1:10" s="6" customFormat="1" x14ac:dyDescent="0.35">
      <c r="A3" s="6" t="s">
        <v>29</v>
      </c>
      <c r="B3" s="6" t="s">
        <v>0</v>
      </c>
      <c r="C3" s="6" t="s">
        <v>1</v>
      </c>
      <c r="D3" s="6" t="s">
        <v>2</v>
      </c>
      <c r="E3" s="6" t="s">
        <v>8</v>
      </c>
      <c r="F3" s="6" t="s">
        <v>10</v>
      </c>
      <c r="G3" s="6" t="s">
        <v>11</v>
      </c>
      <c r="H3" s="6" t="s">
        <v>30</v>
      </c>
      <c r="I3" s="6" t="s">
        <v>13</v>
      </c>
      <c r="J3" s="6" t="s">
        <v>14</v>
      </c>
    </row>
    <row r="4" spans="1:10" x14ac:dyDescent="0.35">
      <c r="A4">
        <v>1</v>
      </c>
      <c r="B4" t="str">
        <f ca="1">IFERROR(INDEX(APPLICANTS!A:A,MATCH($A4,APPLICANTS!$P:$P,0))&amp;"","")</f>
        <v>STU-001</v>
      </c>
      <c r="C4" t="str">
        <f ca="1">IFERROR(INDEX(APPLICANTS!B:B,MATCH($A4,APPLICANTS!$P:$P,0))&amp;"","")</f>
        <v>Test Student</v>
      </c>
      <c r="D4" t="str">
        <f ca="1">IFERROR(INDEX(APPLICANTS!D:D,MATCH($A4,APPLICANTS!$P:$P,0))&amp;"","")</f>
        <v/>
      </c>
      <c r="E4" t="str">
        <f ca="1">IFERROR(INDEX(APPLICANTS!I:I,MATCH($A4,APPLICANTS!$P:$P,0))&amp;"","")</f>
        <v>Applied</v>
      </c>
      <c r="F4" t="str">
        <f ca="1">IFERROR(INDEX(APPLICANTS!K:K,MATCH($A4,APPLICANTS!$P:$P,0))&amp;"","")</f>
        <v/>
      </c>
      <c r="G4" s="3">
        <f ca="1">IFERROR(INDEX(APPLICANTS!L:L,MATCH($A4,APPLICANTS!$P:$P,0)),"")</f>
        <v>46285</v>
      </c>
      <c r="H4">
        <f ca="1">IFERROR(INDEX(APPLICANTS!M:M,MATCH($A4,APPLICANTS!$P:$P,0)),"")</f>
        <v>-6</v>
      </c>
      <c r="I4" t="str">
        <f ca="1">IFERROR(INDEX(APPLICANTS!N:N,MATCH($A4,APPLICANTS!$P:$P,0))&amp;"","")</f>
        <v>Overdue</v>
      </c>
      <c r="J4" t="str">
        <f ca="1">IFERROR(INDEX(APPLICANTS!O:O,MATCH($A4,APPLICANTS!$P:$P,0))&amp;"","")</f>
        <v/>
      </c>
    </row>
    <row r="5" spans="1:10" x14ac:dyDescent="0.35">
      <c r="A5">
        <v>2</v>
      </c>
      <c r="B5" t="str">
        <f ca="1">IFERROR(INDEX(APPLICANTS!A:A,MATCH($A5,APPLICANTS!$P:$P,0))&amp;"","")</f>
        <v>STU-007</v>
      </c>
      <c r="C5" t="str">
        <f ca="1">IFERROR(INDEX(APPLICANTS!B:B,MATCH($A5,APPLICANTS!$P:$P,0))&amp;"","")</f>
        <v>Blessing Adebayo</v>
      </c>
      <c r="D5" t="str">
        <f ca="1">IFERROR(INDEX(APPLICANTS!D:D,MATCH($A5,APPLICANTS!$P:$P,0))&amp;"","")</f>
        <v>Abuja</v>
      </c>
      <c r="E5" t="str">
        <f ca="1">IFERROR(INDEX(APPLICANTS!I:I,MATCH($A5,APPLICANTS!$P:$P,0))&amp;"","")</f>
        <v>Applied</v>
      </c>
      <c r="F5" t="str">
        <f ca="1">IFERROR(INDEX(APPLICANTS!K:K,MATCH($A5,APPLICANTS!$P:$P,0))&amp;"","")</f>
        <v>Proof of funds</v>
      </c>
      <c r="G5" s="3">
        <f ca="1">IFERROR(INDEX(APPLICANTS!L:L,MATCH($A5,APPLICANTS!$P:$P,0)),"")</f>
        <v>46285</v>
      </c>
      <c r="H5">
        <f ca="1">IFERROR(INDEX(APPLICANTS!M:M,MATCH($A5,APPLICANTS!$P:$P,0)),"")</f>
        <v>-6</v>
      </c>
      <c r="I5" t="str">
        <f ca="1">IFERROR(INDEX(APPLICANTS!N:N,MATCH($A5,APPLICANTS!$P:$P,0))&amp;"","")</f>
        <v>Overdue</v>
      </c>
      <c r="J5" t="str">
        <f ca="1">IFERROR(INDEX(APPLICANTS!O:O,MATCH($A5,APPLICANTS!$P:$P,0))&amp;"","")</f>
        <v>Advisor 1</v>
      </c>
    </row>
    <row r="6" spans="1:10" x14ac:dyDescent="0.35">
      <c r="A6">
        <v>3</v>
      </c>
      <c r="B6" t="str">
        <f ca="1">IFERROR(INDEX(APPLICANTS!A:A,MATCH($A6,APPLICANTS!$P:$P,0))&amp;"","")</f>
        <v>STU-009</v>
      </c>
      <c r="C6" t="str">
        <f ca="1">IFERROR(INDEX(APPLICANTS!B:B,MATCH($A6,APPLICANTS!$P:$P,0))&amp;"","")</f>
        <v>Blessing Mensah</v>
      </c>
      <c r="D6" t="str">
        <f ca="1">IFERROR(INDEX(APPLICANTS!D:D,MATCH($A6,APPLICANTS!$P:$P,0))&amp;"","")</f>
        <v>Dublin</v>
      </c>
      <c r="E6" t="str">
        <f ca="1">IFERROR(INDEX(APPLICANTS!I:I,MATCH($A6,APPLICANTS!$P:$P,0))&amp;"","")</f>
        <v>Documents</v>
      </c>
      <c r="F6" t="str">
        <f ca="1">IFERROR(INDEX(APPLICANTS!K:K,MATCH($A6,APPLICANTS!$P:$P,0))&amp;"","")</f>
        <v>Transcript, English test</v>
      </c>
      <c r="G6" s="3">
        <f ca="1">IFERROR(INDEX(APPLICANTS!L:L,MATCH($A6,APPLICANTS!$P:$P,0)),"")</f>
        <v>46287</v>
      </c>
      <c r="H6">
        <f ca="1">IFERROR(INDEX(APPLICANTS!M:M,MATCH($A6,APPLICANTS!$P:$P,0)),"")</f>
        <v>-4</v>
      </c>
      <c r="I6" t="str">
        <f ca="1">IFERROR(INDEX(APPLICANTS!N:N,MATCH($A6,APPLICANTS!$P:$P,0))&amp;"","")</f>
        <v>Overdue</v>
      </c>
      <c r="J6" t="str">
        <f ca="1">IFERROR(INDEX(APPLICANTS!O:O,MATCH($A6,APPLICANTS!$P:$P,0))&amp;"","")</f>
        <v>Advisor 1</v>
      </c>
    </row>
    <row r="7" spans="1:10" x14ac:dyDescent="0.35">
      <c r="A7">
        <v>4</v>
      </c>
      <c r="B7" t="str">
        <f ca="1">IFERROR(INDEX(APPLICANTS!A:A,MATCH($A7,APPLICANTS!$P:$P,0))&amp;"","")</f>
        <v>STU-011</v>
      </c>
      <c r="C7" t="str">
        <f ca="1">IFERROR(INDEX(APPLICANTS!B:B,MATCH($A7,APPLICANTS!$P:$P,0))&amp;"","")</f>
        <v>Daniel Nwosu</v>
      </c>
      <c r="D7" t="str">
        <f ca="1">IFERROR(INDEX(APPLICANTS!D:D,MATCH($A7,APPLICANTS!$P:$P,0))&amp;"","")</f>
        <v>Dublin</v>
      </c>
      <c r="E7" t="str">
        <f ca="1">IFERROR(INDEX(APPLICANTS!I:I,MATCH($A7,APPLICANTS!$P:$P,0))&amp;"","")</f>
        <v>Applied</v>
      </c>
      <c r="F7" t="str">
        <f ca="1">IFERROR(INDEX(APPLICANTS!K:K,MATCH($A7,APPLICANTS!$P:$P,0))&amp;"","")</f>
        <v>Reference letter</v>
      </c>
      <c r="G7" s="3">
        <f ca="1">IFERROR(INDEX(APPLICANTS!L:L,MATCH($A7,APPLICANTS!$P:$P,0)),"")</f>
        <v>46279</v>
      </c>
      <c r="H7">
        <f ca="1">IFERROR(INDEX(APPLICANTS!M:M,MATCH($A7,APPLICANTS!$P:$P,0)),"")</f>
        <v>-12</v>
      </c>
      <c r="I7" t="str">
        <f ca="1">IFERROR(INDEX(APPLICANTS!N:N,MATCH($A7,APPLICANTS!$P:$P,0))&amp;"","")</f>
        <v>Overdue</v>
      </c>
      <c r="J7" t="str">
        <f ca="1">IFERROR(INDEX(APPLICANTS!O:O,MATCH($A7,APPLICANTS!$P:$P,0))&amp;"","")</f>
        <v>Advisor 1</v>
      </c>
    </row>
    <row r="8" spans="1:10" x14ac:dyDescent="0.35">
      <c r="A8">
        <v>5</v>
      </c>
      <c r="B8" t="str">
        <f ca="1">IFERROR(INDEX(APPLICANTS!A:A,MATCH($A8,APPLICANTS!$P:$P,0))&amp;"","")</f>
        <v>STU-013</v>
      </c>
      <c r="C8" t="str">
        <f ca="1">IFERROR(INDEX(APPLICANTS!B:B,MATCH($A8,APPLICANTS!$P:$P,0))&amp;"","")</f>
        <v>Bola Ogunleye</v>
      </c>
      <c r="D8" t="str">
        <f ca="1">IFERROR(INDEX(APPLICANTS!D:D,MATCH($A8,APPLICANTS!$P:$P,0))&amp;"","")</f>
        <v>Dublin</v>
      </c>
      <c r="E8" t="str">
        <f ca="1">IFERROR(INDEX(APPLICANTS!I:I,MATCH($A8,APPLICANTS!$P:$P,0))&amp;"","")</f>
        <v>Applied</v>
      </c>
      <c r="F8" t="str">
        <f ca="1">IFERROR(INDEX(APPLICANTS!K:K,MATCH($A8,APPLICANTS!$P:$P,0))&amp;"","")</f>
        <v>English test</v>
      </c>
      <c r="G8" s="3">
        <f ca="1">IFERROR(INDEX(APPLICANTS!L:L,MATCH($A8,APPLICANTS!$P:$P,0)),"")</f>
        <v>46294</v>
      </c>
      <c r="H8">
        <f ca="1">IFERROR(INDEX(APPLICANTS!M:M,MATCH($A8,APPLICANTS!$P:$P,0)),"")</f>
        <v>3</v>
      </c>
      <c r="I8" t="str">
        <f ca="1">IFERROR(INDEX(APPLICANTS!N:N,MATCH($A8,APPLICANTS!$P:$P,0))&amp;"","")</f>
        <v>Due this week</v>
      </c>
      <c r="J8" t="str">
        <f ca="1">IFERROR(INDEX(APPLICANTS!O:O,MATCH($A8,APPLICANTS!$P:$P,0))&amp;"","")</f>
        <v>Advisor 2</v>
      </c>
    </row>
    <row r="9" spans="1:10" x14ac:dyDescent="0.35">
      <c r="A9">
        <v>6</v>
      </c>
      <c r="B9" t="str">
        <f ca="1">IFERROR(INDEX(APPLICANTS!A:A,MATCH($A9,APPLICANTS!$P:$P,0))&amp;"","")</f>
        <v>STU-014</v>
      </c>
      <c r="C9" t="str">
        <f ca="1">IFERROR(INDEX(APPLICANTS!B:B,MATCH($A9,APPLICANTS!$P:$P,0))&amp;"","")</f>
        <v>Ama Ibe</v>
      </c>
      <c r="D9" t="str">
        <f ca="1">IFERROR(INDEX(APPLICANTS!D:D,MATCH($A9,APPLICANTS!$P:$P,0))&amp;"","")</f>
        <v>Abuja</v>
      </c>
      <c r="E9" t="str">
        <f ca="1">IFERROR(INDEX(APPLICANTS!I:I,MATCH($A9,APPLICANTS!$P:$P,0))&amp;"","")</f>
        <v>Enquiry</v>
      </c>
      <c r="F9" t="str">
        <f ca="1">IFERROR(INDEX(APPLICANTS!K:K,MATCH($A9,APPLICANTS!$P:$P,0))&amp;"","")</f>
        <v>Degree certificate, English test, Reference letter</v>
      </c>
      <c r="G9" s="3">
        <f ca="1">IFERROR(INDEX(APPLICANTS!L:L,MATCH($A9,APPLICANTS!$P:$P,0)),"")</f>
        <v>46288</v>
      </c>
      <c r="H9">
        <f ca="1">IFERROR(INDEX(APPLICANTS!M:M,MATCH($A9,APPLICANTS!$P:$P,0)),"")</f>
        <v>-3</v>
      </c>
      <c r="I9" t="str">
        <f ca="1">IFERROR(INDEX(APPLICANTS!N:N,MATCH($A9,APPLICANTS!$P:$P,0))&amp;"","")</f>
        <v>Overdue</v>
      </c>
      <c r="J9" t="str">
        <f ca="1">IFERROR(INDEX(APPLICANTS!O:O,MATCH($A9,APPLICANTS!$P:$P,0))&amp;"","")</f>
        <v>Advisor 3</v>
      </c>
    </row>
    <row r="10" spans="1:10" x14ac:dyDescent="0.35">
      <c r="A10">
        <v>7</v>
      </c>
      <c r="B10" t="str">
        <f ca="1">IFERROR(INDEX(APPLICANTS!A:A,MATCH($A10,APPLICANTS!$P:$P,0))&amp;"","")</f>
        <v>STU-016</v>
      </c>
      <c r="C10" t="str">
        <f ca="1">IFERROR(INDEX(APPLICANTS!B:B,MATCH($A10,APPLICANTS!$P:$P,0))&amp;"","")</f>
        <v>Ngozi Adeyemi</v>
      </c>
      <c r="D10" t="str">
        <f ca="1">IFERROR(INDEX(APPLICANTS!D:D,MATCH($A10,APPLICANTS!$P:$P,0))&amp;"","")</f>
        <v>Dublin</v>
      </c>
      <c r="E10" t="str">
        <f ca="1">IFERROR(INDEX(APPLICANTS!I:I,MATCH($A10,APPLICANTS!$P:$P,0))&amp;"","")</f>
        <v>Applied</v>
      </c>
      <c r="F10" t="str">
        <f ca="1">IFERROR(INDEX(APPLICANTS!K:K,MATCH($A10,APPLICANTS!$P:$P,0))&amp;"","")</f>
        <v>English test</v>
      </c>
      <c r="G10" s="3">
        <f ca="1">IFERROR(INDEX(APPLICANTS!L:L,MATCH($A10,APPLICANTS!$P:$P,0)),"")</f>
        <v>46295</v>
      </c>
      <c r="H10">
        <f ca="1">IFERROR(INDEX(APPLICANTS!M:M,MATCH($A10,APPLICANTS!$P:$P,0)),"")</f>
        <v>4</v>
      </c>
      <c r="I10" t="str">
        <f ca="1">IFERROR(INDEX(APPLICANTS!N:N,MATCH($A10,APPLICANTS!$P:$P,0))&amp;"","")</f>
        <v>Due this week</v>
      </c>
      <c r="J10" t="str">
        <f ca="1">IFERROR(INDEX(APPLICANTS!O:O,MATCH($A10,APPLICANTS!$P:$P,0))&amp;"","")</f>
        <v>Advisor 2</v>
      </c>
    </row>
    <row r="11" spans="1:10" x14ac:dyDescent="0.35">
      <c r="A11">
        <v>8</v>
      </c>
      <c r="B11" t="str">
        <f ca="1">IFERROR(INDEX(APPLICANTS!A:A,MATCH($A11,APPLICANTS!$P:$P,0))&amp;"","")</f>
        <v>STU-018</v>
      </c>
      <c r="C11" t="str">
        <f ca="1">IFERROR(INDEX(APPLICANTS!B:B,MATCH($A11,APPLICANTS!$P:$P,0))&amp;"","")</f>
        <v>Wanjiru Asante</v>
      </c>
      <c r="D11" t="str">
        <f ca="1">IFERROR(INDEX(APPLICANTS!D:D,MATCH($A11,APPLICANTS!$P:$P,0))&amp;"","")</f>
        <v>Abuja</v>
      </c>
      <c r="E11" t="str">
        <f ca="1">IFERROR(INDEX(APPLICANTS!I:I,MATCH($A11,APPLICANTS!$P:$P,0))&amp;"","")</f>
        <v>Offer</v>
      </c>
      <c r="F11" t="str">
        <f ca="1">IFERROR(INDEX(APPLICANTS!K:K,MATCH($A11,APPLICANTS!$P:$P,0))&amp;"","")</f>
        <v>Proof of funds</v>
      </c>
      <c r="G11" s="3">
        <f ca="1">IFERROR(INDEX(APPLICANTS!L:L,MATCH($A11,APPLICANTS!$P:$P,0)),"")</f>
        <v>46280</v>
      </c>
      <c r="H11">
        <f ca="1">IFERROR(INDEX(APPLICANTS!M:M,MATCH($A11,APPLICANTS!$P:$P,0)),"")</f>
        <v>-11</v>
      </c>
      <c r="I11" t="str">
        <f ca="1">IFERROR(INDEX(APPLICANTS!N:N,MATCH($A11,APPLICANTS!$P:$P,0))&amp;"","")</f>
        <v>Overdue</v>
      </c>
      <c r="J11" t="str">
        <f ca="1">IFERROR(INDEX(APPLICANTS!O:O,MATCH($A11,APPLICANTS!$P:$P,0))&amp;"","")</f>
        <v>Advisor 2</v>
      </c>
    </row>
    <row r="12" spans="1:10" x14ac:dyDescent="0.35">
      <c r="A12">
        <v>9</v>
      </c>
      <c r="B12" t="str">
        <f ca="1">IFERROR(INDEX(APPLICANTS!A:A,MATCH($A12,APPLICANTS!$P:$P,0))&amp;"","")</f>
        <v>STU-019</v>
      </c>
      <c r="C12" t="str">
        <f ca="1">IFERROR(INDEX(APPLICANTS!B:B,MATCH($A12,APPLICANTS!$P:$P,0))&amp;"","")</f>
        <v>Zainab Adeyemi</v>
      </c>
      <c r="D12" t="str">
        <f ca="1">IFERROR(INDEX(APPLICANTS!D:D,MATCH($A12,APPLICANTS!$P:$P,0))&amp;"","")</f>
        <v>Abuja</v>
      </c>
      <c r="E12" t="str">
        <f ca="1">IFERROR(INDEX(APPLICANTS!I:I,MATCH($A12,APPLICANTS!$P:$P,0))&amp;"","")</f>
        <v>Enquiry</v>
      </c>
      <c r="F12" t="str">
        <f ca="1">IFERROR(INDEX(APPLICANTS!K:K,MATCH($A12,APPLICANTS!$P:$P,0))&amp;"","")</f>
        <v>Proof of funds, Reference letter</v>
      </c>
      <c r="G12" s="3">
        <f ca="1">IFERROR(INDEX(APPLICANTS!L:L,MATCH($A12,APPLICANTS!$P:$P,0)),"")</f>
        <v>46284</v>
      </c>
      <c r="H12">
        <f ca="1">IFERROR(INDEX(APPLICANTS!M:M,MATCH($A12,APPLICANTS!$P:$P,0)),"")</f>
        <v>-7</v>
      </c>
      <c r="I12" t="str">
        <f ca="1">IFERROR(INDEX(APPLICANTS!N:N,MATCH($A12,APPLICANTS!$P:$P,0))&amp;"","")</f>
        <v>Overdue</v>
      </c>
      <c r="J12" t="str">
        <f ca="1">IFERROR(INDEX(APPLICANTS!O:O,MATCH($A12,APPLICANTS!$P:$P,0))&amp;"","")</f>
        <v>Advisor 2</v>
      </c>
    </row>
    <row r="13" spans="1:10" x14ac:dyDescent="0.35">
      <c r="A13">
        <v>10</v>
      </c>
      <c r="B13" t="str">
        <f ca="1">IFERROR(INDEX(APPLICANTS!A:A,MATCH($A13,APPLICANTS!$P:$P,0))&amp;"","")</f>
        <v>STU-021</v>
      </c>
      <c r="C13" t="str">
        <f ca="1">IFERROR(INDEX(APPLICANTS!B:B,MATCH($A13,APPLICANTS!$P:$P,0))&amp;"","")</f>
        <v>Chidi Asante</v>
      </c>
      <c r="D13" t="str">
        <f ca="1">IFERROR(INDEX(APPLICANTS!D:D,MATCH($A13,APPLICANTS!$P:$P,0))&amp;"","")</f>
        <v>Abuja</v>
      </c>
      <c r="E13" t="str">
        <f ca="1">IFERROR(INDEX(APPLICANTS!I:I,MATCH($A13,APPLICANTS!$P:$P,0))&amp;"","")</f>
        <v>Offer</v>
      </c>
      <c r="F13" t="str">
        <f ca="1">IFERROR(INDEX(APPLICANTS!K:K,MATCH($A13,APPLICANTS!$P:$P,0))&amp;"","")</f>
        <v>Reference letter</v>
      </c>
      <c r="G13" s="3">
        <f ca="1">IFERROR(INDEX(APPLICANTS!L:L,MATCH($A13,APPLICANTS!$P:$P,0)),"")</f>
        <v>46287</v>
      </c>
      <c r="H13">
        <f ca="1">IFERROR(INDEX(APPLICANTS!M:M,MATCH($A13,APPLICANTS!$P:$P,0)),"")</f>
        <v>-4</v>
      </c>
      <c r="I13" t="str">
        <f ca="1">IFERROR(INDEX(APPLICANTS!N:N,MATCH($A13,APPLICANTS!$P:$P,0))&amp;"","")</f>
        <v>Overdue</v>
      </c>
      <c r="J13" t="str">
        <f ca="1">IFERROR(INDEX(APPLICANTS!O:O,MATCH($A13,APPLICANTS!$P:$P,0))&amp;"","")</f>
        <v>Advisor 3</v>
      </c>
    </row>
    <row r="14" spans="1:10" x14ac:dyDescent="0.35">
      <c r="A14">
        <v>11</v>
      </c>
      <c r="B14" t="str">
        <f ca="1">IFERROR(INDEX(APPLICANTS!A:A,MATCH($A14,APPLICANTS!$P:$P,0))&amp;"","")</f>
        <v>STU-024</v>
      </c>
      <c r="C14" t="str">
        <f ca="1">IFERROR(INDEX(APPLICANTS!B:B,MATCH($A14,APPLICANTS!$P:$P,0))&amp;"","")</f>
        <v>Ama Owusu</v>
      </c>
      <c r="D14" t="str">
        <f ca="1">IFERROR(INDEX(APPLICANTS!D:D,MATCH($A14,APPLICANTS!$P:$P,0))&amp;"","")</f>
        <v>Abuja</v>
      </c>
      <c r="E14" t="str">
        <f ca="1">IFERROR(INDEX(APPLICANTS!I:I,MATCH($A14,APPLICANTS!$P:$P,0))&amp;"","")</f>
        <v>Applied</v>
      </c>
      <c r="F14" t="str">
        <f ca="1">IFERROR(INDEX(APPLICANTS!K:K,MATCH($A14,APPLICANTS!$P:$P,0))&amp;"","")</f>
        <v/>
      </c>
      <c r="G14" s="3">
        <f ca="1">IFERROR(INDEX(APPLICANTS!L:L,MATCH($A14,APPLICANTS!$P:$P,0)),"")</f>
        <v>46284</v>
      </c>
      <c r="H14">
        <f ca="1">IFERROR(INDEX(APPLICANTS!M:M,MATCH($A14,APPLICANTS!$P:$P,0)),"")</f>
        <v>-7</v>
      </c>
      <c r="I14" t="str">
        <f ca="1">IFERROR(INDEX(APPLICANTS!N:N,MATCH($A14,APPLICANTS!$P:$P,0))&amp;"","")</f>
        <v>Overdue</v>
      </c>
      <c r="J14" t="str">
        <f ca="1">IFERROR(INDEX(APPLICANTS!O:O,MATCH($A14,APPLICANTS!$P:$P,0))&amp;"","")</f>
        <v>Advisor 2</v>
      </c>
    </row>
    <row r="15" spans="1:10" x14ac:dyDescent="0.35">
      <c r="A15">
        <v>12</v>
      </c>
      <c r="B15" t="str">
        <f ca="1">IFERROR(INDEX(APPLICANTS!A:A,MATCH($A15,APPLICANTS!$P:$P,0))&amp;"","")</f>
        <v>STU-025</v>
      </c>
      <c r="C15" t="str">
        <f ca="1">IFERROR(INDEX(APPLICANTS!B:B,MATCH($A15,APPLICANTS!$P:$P,0))&amp;"","")</f>
        <v>Daniel Abubakar</v>
      </c>
      <c r="D15" t="str">
        <f ca="1">IFERROR(INDEX(APPLICANTS!D:D,MATCH($A15,APPLICANTS!$P:$P,0))&amp;"","")</f>
        <v>Abuja</v>
      </c>
      <c r="E15" t="str">
        <f ca="1">IFERROR(INDEX(APPLICANTS!I:I,MATCH($A15,APPLICANTS!$P:$P,0))&amp;"","")</f>
        <v>Applied</v>
      </c>
      <c r="F15" t="str">
        <f ca="1">IFERROR(INDEX(APPLICANTS!K:K,MATCH($A15,APPLICANTS!$P:$P,0))&amp;"","")</f>
        <v/>
      </c>
      <c r="G15" s="3">
        <f ca="1">IFERROR(INDEX(APPLICANTS!L:L,MATCH($A15,APPLICANTS!$P:$P,0)),"")</f>
        <v>46284</v>
      </c>
      <c r="H15">
        <f ca="1">IFERROR(INDEX(APPLICANTS!M:M,MATCH($A15,APPLICANTS!$P:$P,0)),"")</f>
        <v>-7</v>
      </c>
      <c r="I15" t="str">
        <f ca="1">IFERROR(INDEX(APPLICANTS!N:N,MATCH($A15,APPLICANTS!$P:$P,0))&amp;"","")</f>
        <v>Overdue</v>
      </c>
      <c r="J15" t="str">
        <f ca="1">IFERROR(INDEX(APPLICANTS!O:O,MATCH($A15,APPLICANTS!$P:$P,0))&amp;"","")</f>
        <v>Advisor 1</v>
      </c>
    </row>
    <row r="16" spans="1:10" x14ac:dyDescent="0.35">
      <c r="A16">
        <v>13</v>
      </c>
      <c r="B16" t="str">
        <f ca="1">IFERROR(INDEX(APPLICANTS!A:A,MATCH($A16,APPLICANTS!$P:$P,0))&amp;"","")</f>
        <v>STU-027</v>
      </c>
      <c r="C16" t="str">
        <f ca="1">IFERROR(INDEX(APPLICANTS!B:B,MATCH($A16,APPLICANTS!$P:$P,0))&amp;"","")</f>
        <v>Emeka Asante</v>
      </c>
      <c r="D16" t="str">
        <f ca="1">IFERROR(INDEX(APPLICANTS!D:D,MATCH($A16,APPLICANTS!$P:$P,0))&amp;"","")</f>
        <v>Abuja</v>
      </c>
      <c r="E16" t="str">
        <f ca="1">IFERROR(INDEX(APPLICANTS!I:I,MATCH($A16,APPLICANTS!$P:$P,0))&amp;"","")</f>
        <v>Documents</v>
      </c>
      <c r="F16" t="str">
        <f ca="1">IFERROR(INDEX(APPLICANTS!K:K,MATCH($A16,APPLICANTS!$P:$P,0))&amp;"","")</f>
        <v>Personal statement, English test</v>
      </c>
      <c r="G16" s="3">
        <f ca="1">IFERROR(INDEX(APPLICANTS!L:L,MATCH($A16,APPLICANTS!$P:$P,0)),"")</f>
        <v>46294</v>
      </c>
      <c r="H16">
        <f ca="1">IFERROR(INDEX(APPLICANTS!M:M,MATCH($A16,APPLICANTS!$P:$P,0)),"")</f>
        <v>3</v>
      </c>
      <c r="I16" t="str">
        <f ca="1">IFERROR(INDEX(APPLICANTS!N:N,MATCH($A16,APPLICANTS!$P:$P,0))&amp;"","")</f>
        <v>Due this week</v>
      </c>
      <c r="J16" t="str">
        <f ca="1">IFERROR(INDEX(APPLICANTS!O:O,MATCH($A16,APPLICANTS!$P:$P,0))&amp;"","")</f>
        <v>Advisor 2</v>
      </c>
    </row>
    <row r="17" spans="1:10" x14ac:dyDescent="0.35">
      <c r="A17">
        <v>14</v>
      </c>
      <c r="B17" t="str">
        <f ca="1">IFERROR(INDEX(APPLICANTS!A:A,MATCH($A17,APPLICANTS!$P:$P,0))&amp;"","")</f>
        <v>STU-029</v>
      </c>
      <c r="C17" t="str">
        <f ca="1">IFERROR(INDEX(APPLICANTS!B:B,MATCH($A17,APPLICANTS!$P:$P,0))&amp;"","")</f>
        <v>Emeka Nwosu</v>
      </c>
      <c r="D17" t="str">
        <f ca="1">IFERROR(INDEX(APPLICANTS!D:D,MATCH($A17,APPLICANTS!$P:$P,0))&amp;"","")</f>
        <v>Abuja</v>
      </c>
      <c r="E17" t="str">
        <f ca="1">IFERROR(INDEX(APPLICANTS!I:I,MATCH($A17,APPLICANTS!$P:$P,0))&amp;"","")</f>
        <v>Applied</v>
      </c>
      <c r="F17" t="str">
        <f ca="1">IFERROR(INDEX(APPLICANTS!K:K,MATCH($A17,APPLICANTS!$P:$P,0))&amp;"","")</f>
        <v/>
      </c>
      <c r="G17" s="3">
        <f ca="1">IFERROR(INDEX(APPLICANTS!L:L,MATCH($A17,APPLICANTS!$P:$P,0)),"")</f>
        <v>46289</v>
      </c>
      <c r="H17">
        <f ca="1">IFERROR(INDEX(APPLICANTS!M:M,MATCH($A17,APPLICANTS!$P:$P,0)),"")</f>
        <v>-2</v>
      </c>
      <c r="I17" t="str">
        <f ca="1">IFERROR(INDEX(APPLICANTS!N:N,MATCH($A17,APPLICANTS!$P:$P,0))&amp;"","")</f>
        <v>Overdue</v>
      </c>
      <c r="J17" t="str">
        <f ca="1">IFERROR(INDEX(APPLICANTS!O:O,MATCH($A17,APPLICANTS!$P:$P,0))&amp;"","")</f>
        <v>Advisor 2</v>
      </c>
    </row>
    <row r="18" spans="1:10" x14ac:dyDescent="0.35">
      <c r="A18">
        <v>15</v>
      </c>
      <c r="B18" t="str">
        <f ca="1">IFERROR(INDEX(APPLICANTS!A:A,MATCH($A18,APPLICANTS!$P:$P,0))&amp;"","")</f>
        <v>STU-032</v>
      </c>
      <c r="C18" t="str">
        <f ca="1">IFERROR(INDEX(APPLICANTS!B:B,MATCH($A18,APPLICANTS!$P:$P,0))&amp;"","")</f>
        <v>Kwame Chukwu</v>
      </c>
      <c r="D18" t="str">
        <f ca="1">IFERROR(INDEX(APPLICANTS!D:D,MATCH($A18,APPLICANTS!$P:$P,0))&amp;"","")</f>
        <v>Abuja</v>
      </c>
      <c r="E18" t="str">
        <f ca="1">IFERROR(INDEX(APPLICANTS!I:I,MATCH($A18,APPLICANTS!$P:$P,0))&amp;"","")</f>
        <v>Documents</v>
      </c>
      <c r="F18" t="str">
        <f ca="1">IFERROR(INDEX(APPLICANTS!K:K,MATCH($A18,APPLICANTS!$P:$P,0))&amp;"","")</f>
        <v>Degree certificate, English test, Personal statement</v>
      </c>
      <c r="G18" s="3">
        <f ca="1">IFERROR(INDEX(APPLICANTS!L:L,MATCH($A18,APPLICANTS!$P:$P,0)),"")</f>
        <v>46280</v>
      </c>
      <c r="H18">
        <f ca="1">IFERROR(INDEX(APPLICANTS!M:M,MATCH($A18,APPLICANTS!$P:$P,0)),"")</f>
        <v>-11</v>
      </c>
      <c r="I18" t="str">
        <f ca="1">IFERROR(INDEX(APPLICANTS!N:N,MATCH($A18,APPLICANTS!$P:$P,0))&amp;"","")</f>
        <v>Overdue</v>
      </c>
      <c r="J18" t="str">
        <f ca="1">IFERROR(INDEX(APPLICANTS!O:O,MATCH($A18,APPLICANTS!$P:$P,0))&amp;"","")</f>
        <v>Advisor 1</v>
      </c>
    </row>
    <row r="19" spans="1:10" x14ac:dyDescent="0.35">
      <c r="A19">
        <v>16</v>
      </c>
      <c r="B19" t="str">
        <f ca="1">IFERROR(INDEX(APPLICANTS!A:A,MATCH($A19,APPLICANTS!$P:$P,0))&amp;"","")</f>
        <v>STU-036</v>
      </c>
      <c r="C19" t="str">
        <f ca="1">IFERROR(INDEX(APPLICANTS!B:B,MATCH($A19,APPLICANTS!$P:$P,0))&amp;"","")</f>
        <v>Joy Adebayo</v>
      </c>
      <c r="D19" t="str">
        <f ca="1">IFERROR(INDEX(APPLICANTS!D:D,MATCH($A19,APPLICANTS!$P:$P,0))&amp;"","")</f>
        <v>Abuja</v>
      </c>
      <c r="E19" t="str">
        <f ca="1">IFERROR(INDEX(APPLICANTS!I:I,MATCH($A19,APPLICANTS!$P:$P,0))&amp;"","")</f>
        <v>Enquiry</v>
      </c>
      <c r="F19" t="str">
        <f ca="1">IFERROR(INDEX(APPLICANTS!K:K,MATCH($A19,APPLICANTS!$P:$P,0))&amp;"","")</f>
        <v>English test</v>
      </c>
      <c r="G19" s="3">
        <f ca="1">IFERROR(INDEX(APPLICANTS!L:L,MATCH($A19,APPLICANTS!$P:$P,0)),"")</f>
        <v>46291</v>
      </c>
      <c r="H19">
        <f ca="1">IFERROR(INDEX(APPLICANTS!M:M,MATCH($A19,APPLICANTS!$P:$P,0)),"")</f>
        <v>0</v>
      </c>
      <c r="I19" t="str">
        <f ca="1">IFERROR(INDEX(APPLICANTS!N:N,MATCH($A19,APPLICANTS!$P:$P,0))&amp;"","")</f>
        <v>Due this week</v>
      </c>
      <c r="J19" t="str">
        <f ca="1">IFERROR(INDEX(APPLICANTS!O:O,MATCH($A19,APPLICANTS!$P:$P,0))&amp;"","")</f>
        <v>Advisor 3</v>
      </c>
    </row>
    <row r="20" spans="1:10" x14ac:dyDescent="0.35">
      <c r="A20">
        <v>17</v>
      </c>
      <c r="B20" t="str">
        <f ca="1">IFERROR(INDEX(APPLICANTS!A:A,MATCH($A20,APPLICANTS!$P:$P,0))&amp;"","")</f>
        <v/>
      </c>
      <c r="C20" t="str">
        <f ca="1">IFERROR(INDEX(APPLICANTS!B:B,MATCH($A20,APPLICANTS!$P:$P,0))&amp;"","")</f>
        <v/>
      </c>
      <c r="D20" t="str">
        <f ca="1">IFERROR(INDEX(APPLICANTS!D:D,MATCH($A20,APPLICANTS!$P:$P,0))&amp;"","")</f>
        <v/>
      </c>
      <c r="E20" t="str">
        <f ca="1">IFERROR(INDEX(APPLICANTS!I:I,MATCH($A20,APPLICANTS!$P:$P,0))&amp;"","")</f>
        <v/>
      </c>
      <c r="F20" t="str">
        <f ca="1">IFERROR(INDEX(APPLICANTS!K:K,MATCH($A20,APPLICANTS!$P:$P,0))&amp;"","")</f>
        <v/>
      </c>
      <c r="G20" s="3" t="str">
        <f ca="1">IFERROR(INDEX(APPLICANTS!L:L,MATCH($A20,APPLICANTS!$P:$P,0)),"")</f>
        <v/>
      </c>
      <c r="H20" t="str">
        <f ca="1">IFERROR(INDEX(APPLICANTS!M:M,MATCH($A20,APPLICANTS!$P:$P,0)),"")</f>
        <v/>
      </c>
      <c r="I20" t="str">
        <f ca="1">IFERROR(INDEX(APPLICANTS!N:N,MATCH($A20,APPLICANTS!$P:$P,0))&amp;"","")</f>
        <v/>
      </c>
      <c r="J20" t="str">
        <f ca="1">IFERROR(INDEX(APPLICANTS!O:O,MATCH($A20,APPLICANTS!$P:$P,0))&amp;"","")</f>
        <v/>
      </c>
    </row>
    <row r="21" spans="1:10" x14ac:dyDescent="0.35">
      <c r="A21">
        <v>18</v>
      </c>
      <c r="B21" t="str">
        <f ca="1">IFERROR(INDEX(APPLICANTS!A:A,MATCH($A21,APPLICANTS!$P:$P,0))&amp;"","")</f>
        <v/>
      </c>
      <c r="C21" t="str">
        <f ca="1">IFERROR(INDEX(APPLICANTS!B:B,MATCH($A21,APPLICANTS!$P:$P,0))&amp;"","")</f>
        <v/>
      </c>
      <c r="D21" t="str">
        <f ca="1">IFERROR(INDEX(APPLICANTS!D:D,MATCH($A21,APPLICANTS!$P:$P,0))&amp;"","")</f>
        <v/>
      </c>
      <c r="E21" t="str">
        <f ca="1">IFERROR(INDEX(APPLICANTS!I:I,MATCH($A21,APPLICANTS!$P:$P,0))&amp;"","")</f>
        <v/>
      </c>
      <c r="F21" t="str">
        <f ca="1">IFERROR(INDEX(APPLICANTS!K:K,MATCH($A21,APPLICANTS!$P:$P,0))&amp;"","")</f>
        <v/>
      </c>
      <c r="G21" s="3" t="str">
        <f ca="1">IFERROR(INDEX(APPLICANTS!L:L,MATCH($A21,APPLICANTS!$P:$P,0)),"")</f>
        <v/>
      </c>
      <c r="H21" t="str">
        <f ca="1">IFERROR(INDEX(APPLICANTS!M:M,MATCH($A21,APPLICANTS!$P:$P,0)),"")</f>
        <v/>
      </c>
      <c r="I21" t="str">
        <f ca="1">IFERROR(INDEX(APPLICANTS!N:N,MATCH($A21,APPLICANTS!$P:$P,0))&amp;"","")</f>
        <v/>
      </c>
      <c r="J21" t="str">
        <f ca="1">IFERROR(INDEX(APPLICANTS!O:O,MATCH($A21,APPLICANTS!$P:$P,0))&amp;"","")</f>
        <v/>
      </c>
    </row>
    <row r="22" spans="1:10" x14ac:dyDescent="0.35">
      <c r="A22">
        <v>19</v>
      </c>
      <c r="B22" t="str">
        <f ca="1">IFERROR(INDEX(APPLICANTS!A:A,MATCH($A22,APPLICANTS!$P:$P,0))&amp;"","")</f>
        <v/>
      </c>
      <c r="C22" t="str">
        <f ca="1">IFERROR(INDEX(APPLICANTS!B:B,MATCH($A22,APPLICANTS!$P:$P,0))&amp;"","")</f>
        <v/>
      </c>
      <c r="D22" t="str">
        <f ca="1">IFERROR(INDEX(APPLICANTS!D:D,MATCH($A22,APPLICANTS!$P:$P,0))&amp;"","")</f>
        <v/>
      </c>
      <c r="E22" t="str">
        <f ca="1">IFERROR(INDEX(APPLICANTS!I:I,MATCH($A22,APPLICANTS!$P:$P,0))&amp;"","")</f>
        <v/>
      </c>
      <c r="F22" t="str">
        <f ca="1">IFERROR(INDEX(APPLICANTS!K:K,MATCH($A22,APPLICANTS!$P:$P,0))&amp;"","")</f>
        <v/>
      </c>
      <c r="G22" s="3" t="str">
        <f ca="1">IFERROR(INDEX(APPLICANTS!L:L,MATCH($A22,APPLICANTS!$P:$P,0)),"")</f>
        <v/>
      </c>
      <c r="H22" t="str">
        <f ca="1">IFERROR(INDEX(APPLICANTS!M:M,MATCH($A22,APPLICANTS!$P:$P,0)),"")</f>
        <v/>
      </c>
      <c r="I22" t="str">
        <f ca="1">IFERROR(INDEX(APPLICANTS!N:N,MATCH($A22,APPLICANTS!$P:$P,0))&amp;"","")</f>
        <v/>
      </c>
      <c r="J22" t="str">
        <f ca="1">IFERROR(INDEX(APPLICANTS!O:O,MATCH($A22,APPLICANTS!$P:$P,0))&amp;"","")</f>
        <v/>
      </c>
    </row>
    <row r="23" spans="1:10" x14ac:dyDescent="0.35">
      <c r="A23">
        <v>20</v>
      </c>
      <c r="B23" t="str">
        <f ca="1">IFERROR(INDEX(APPLICANTS!A:A,MATCH($A23,APPLICANTS!$P:$P,0))&amp;"","")</f>
        <v/>
      </c>
      <c r="C23" t="str">
        <f ca="1">IFERROR(INDEX(APPLICANTS!B:B,MATCH($A23,APPLICANTS!$P:$P,0))&amp;"","")</f>
        <v/>
      </c>
      <c r="D23" t="str">
        <f ca="1">IFERROR(INDEX(APPLICANTS!D:D,MATCH($A23,APPLICANTS!$P:$P,0))&amp;"","")</f>
        <v/>
      </c>
      <c r="E23" t="str">
        <f ca="1">IFERROR(INDEX(APPLICANTS!I:I,MATCH($A23,APPLICANTS!$P:$P,0))&amp;"","")</f>
        <v/>
      </c>
      <c r="F23" t="str">
        <f ca="1">IFERROR(INDEX(APPLICANTS!K:K,MATCH($A23,APPLICANTS!$P:$P,0))&amp;"","")</f>
        <v/>
      </c>
      <c r="G23" s="3" t="str">
        <f ca="1">IFERROR(INDEX(APPLICANTS!L:L,MATCH($A23,APPLICANTS!$P:$P,0)),"")</f>
        <v/>
      </c>
      <c r="H23" t="str">
        <f ca="1">IFERROR(INDEX(APPLICANTS!M:M,MATCH($A23,APPLICANTS!$P:$P,0)),"")</f>
        <v/>
      </c>
      <c r="I23" t="str">
        <f ca="1">IFERROR(INDEX(APPLICANTS!N:N,MATCH($A23,APPLICANTS!$P:$P,0))&amp;"","")</f>
        <v/>
      </c>
      <c r="J23" t="str">
        <f ca="1">IFERROR(INDEX(APPLICANTS!O:O,MATCH($A23,APPLICANTS!$P:$P,0))&amp;"","")</f>
        <v/>
      </c>
    </row>
    <row r="24" spans="1:10" x14ac:dyDescent="0.35">
      <c r="A24">
        <v>21</v>
      </c>
      <c r="B24" t="str">
        <f ca="1">IFERROR(INDEX(APPLICANTS!A:A,MATCH($A24,APPLICANTS!$P:$P,0))&amp;"","")</f>
        <v/>
      </c>
      <c r="C24" t="str">
        <f ca="1">IFERROR(INDEX(APPLICANTS!B:B,MATCH($A24,APPLICANTS!$P:$P,0))&amp;"","")</f>
        <v/>
      </c>
      <c r="D24" t="str">
        <f ca="1">IFERROR(INDEX(APPLICANTS!D:D,MATCH($A24,APPLICANTS!$P:$P,0))&amp;"","")</f>
        <v/>
      </c>
      <c r="E24" t="str">
        <f ca="1">IFERROR(INDEX(APPLICANTS!I:I,MATCH($A24,APPLICANTS!$P:$P,0))&amp;"","")</f>
        <v/>
      </c>
      <c r="F24" t="str">
        <f ca="1">IFERROR(INDEX(APPLICANTS!K:K,MATCH($A24,APPLICANTS!$P:$P,0))&amp;"","")</f>
        <v/>
      </c>
      <c r="G24" s="3" t="str">
        <f ca="1">IFERROR(INDEX(APPLICANTS!L:L,MATCH($A24,APPLICANTS!$P:$P,0)),"")</f>
        <v/>
      </c>
      <c r="H24" t="str">
        <f ca="1">IFERROR(INDEX(APPLICANTS!M:M,MATCH($A24,APPLICANTS!$P:$P,0)),"")</f>
        <v/>
      </c>
      <c r="I24" t="str">
        <f ca="1">IFERROR(INDEX(APPLICANTS!N:N,MATCH($A24,APPLICANTS!$P:$P,0))&amp;"","")</f>
        <v/>
      </c>
      <c r="J24" t="str">
        <f ca="1">IFERROR(INDEX(APPLICANTS!O:O,MATCH($A24,APPLICANTS!$P:$P,0))&amp;"","")</f>
        <v/>
      </c>
    </row>
    <row r="25" spans="1:10" x14ac:dyDescent="0.35">
      <c r="A25">
        <v>22</v>
      </c>
      <c r="B25" t="str">
        <f ca="1">IFERROR(INDEX(APPLICANTS!A:A,MATCH($A25,APPLICANTS!$P:$P,0))&amp;"","")</f>
        <v/>
      </c>
      <c r="C25" t="str">
        <f ca="1">IFERROR(INDEX(APPLICANTS!B:B,MATCH($A25,APPLICANTS!$P:$P,0))&amp;"","")</f>
        <v/>
      </c>
      <c r="D25" t="str">
        <f ca="1">IFERROR(INDEX(APPLICANTS!D:D,MATCH($A25,APPLICANTS!$P:$P,0))&amp;"","")</f>
        <v/>
      </c>
      <c r="E25" t="str">
        <f ca="1">IFERROR(INDEX(APPLICANTS!I:I,MATCH($A25,APPLICANTS!$P:$P,0))&amp;"","")</f>
        <v/>
      </c>
      <c r="F25" t="str">
        <f ca="1">IFERROR(INDEX(APPLICANTS!K:K,MATCH($A25,APPLICANTS!$P:$P,0))&amp;"","")</f>
        <v/>
      </c>
      <c r="G25" s="3" t="str">
        <f ca="1">IFERROR(INDEX(APPLICANTS!L:L,MATCH($A25,APPLICANTS!$P:$P,0)),"")</f>
        <v/>
      </c>
      <c r="H25" t="str">
        <f ca="1">IFERROR(INDEX(APPLICANTS!M:M,MATCH($A25,APPLICANTS!$P:$P,0)),"")</f>
        <v/>
      </c>
      <c r="I25" t="str">
        <f ca="1">IFERROR(INDEX(APPLICANTS!N:N,MATCH($A25,APPLICANTS!$P:$P,0))&amp;"","")</f>
        <v/>
      </c>
      <c r="J25" t="str">
        <f ca="1">IFERROR(INDEX(APPLICANTS!O:O,MATCH($A25,APPLICANTS!$P:$P,0))&amp;"","")</f>
        <v/>
      </c>
    </row>
    <row r="26" spans="1:10" x14ac:dyDescent="0.35">
      <c r="A26">
        <v>23</v>
      </c>
      <c r="B26" t="str">
        <f ca="1">IFERROR(INDEX(APPLICANTS!A:A,MATCH($A26,APPLICANTS!$P:$P,0))&amp;"","")</f>
        <v/>
      </c>
      <c r="C26" t="str">
        <f ca="1">IFERROR(INDEX(APPLICANTS!B:B,MATCH($A26,APPLICANTS!$P:$P,0))&amp;"","")</f>
        <v/>
      </c>
      <c r="D26" t="str">
        <f ca="1">IFERROR(INDEX(APPLICANTS!D:D,MATCH($A26,APPLICANTS!$P:$P,0))&amp;"","")</f>
        <v/>
      </c>
      <c r="E26" t="str">
        <f ca="1">IFERROR(INDEX(APPLICANTS!I:I,MATCH($A26,APPLICANTS!$P:$P,0))&amp;"","")</f>
        <v/>
      </c>
      <c r="F26" t="str">
        <f ca="1">IFERROR(INDEX(APPLICANTS!K:K,MATCH($A26,APPLICANTS!$P:$P,0))&amp;"","")</f>
        <v/>
      </c>
      <c r="G26" s="3" t="str">
        <f ca="1">IFERROR(INDEX(APPLICANTS!L:L,MATCH($A26,APPLICANTS!$P:$P,0)),"")</f>
        <v/>
      </c>
      <c r="H26" t="str">
        <f ca="1">IFERROR(INDEX(APPLICANTS!M:M,MATCH($A26,APPLICANTS!$P:$P,0)),"")</f>
        <v/>
      </c>
      <c r="I26" t="str">
        <f ca="1">IFERROR(INDEX(APPLICANTS!N:N,MATCH($A26,APPLICANTS!$P:$P,0))&amp;"","")</f>
        <v/>
      </c>
      <c r="J26" t="str">
        <f ca="1">IFERROR(INDEX(APPLICANTS!O:O,MATCH($A26,APPLICANTS!$P:$P,0))&amp;"","")</f>
        <v/>
      </c>
    </row>
    <row r="27" spans="1:10" x14ac:dyDescent="0.35">
      <c r="A27">
        <v>24</v>
      </c>
      <c r="B27" t="str">
        <f ca="1">IFERROR(INDEX(APPLICANTS!A:A,MATCH($A27,APPLICANTS!$P:$P,0))&amp;"","")</f>
        <v/>
      </c>
      <c r="C27" t="str">
        <f ca="1">IFERROR(INDEX(APPLICANTS!B:B,MATCH($A27,APPLICANTS!$P:$P,0))&amp;"","")</f>
        <v/>
      </c>
      <c r="D27" t="str">
        <f ca="1">IFERROR(INDEX(APPLICANTS!D:D,MATCH($A27,APPLICANTS!$P:$P,0))&amp;"","")</f>
        <v/>
      </c>
      <c r="E27" t="str">
        <f ca="1">IFERROR(INDEX(APPLICANTS!I:I,MATCH($A27,APPLICANTS!$P:$P,0))&amp;"","")</f>
        <v/>
      </c>
      <c r="F27" t="str">
        <f ca="1">IFERROR(INDEX(APPLICANTS!K:K,MATCH($A27,APPLICANTS!$P:$P,0))&amp;"","")</f>
        <v/>
      </c>
      <c r="G27" s="3" t="str">
        <f ca="1">IFERROR(INDEX(APPLICANTS!L:L,MATCH($A27,APPLICANTS!$P:$P,0)),"")</f>
        <v/>
      </c>
      <c r="H27" t="str">
        <f ca="1">IFERROR(INDEX(APPLICANTS!M:M,MATCH($A27,APPLICANTS!$P:$P,0)),"")</f>
        <v/>
      </c>
      <c r="I27" t="str">
        <f ca="1">IFERROR(INDEX(APPLICANTS!N:N,MATCH($A27,APPLICANTS!$P:$P,0))&amp;"","")</f>
        <v/>
      </c>
      <c r="J27" t="str">
        <f ca="1">IFERROR(INDEX(APPLICANTS!O:O,MATCH($A27,APPLICANTS!$P:$P,0))&amp;"","")</f>
        <v/>
      </c>
    </row>
    <row r="28" spans="1:10" x14ac:dyDescent="0.35">
      <c r="A28">
        <v>25</v>
      </c>
      <c r="B28" t="str">
        <f ca="1">IFERROR(INDEX(APPLICANTS!A:A,MATCH($A28,APPLICANTS!$P:$P,0))&amp;"","")</f>
        <v/>
      </c>
      <c r="C28" t="str">
        <f ca="1">IFERROR(INDEX(APPLICANTS!B:B,MATCH($A28,APPLICANTS!$P:$P,0))&amp;"","")</f>
        <v/>
      </c>
      <c r="D28" t="str">
        <f ca="1">IFERROR(INDEX(APPLICANTS!D:D,MATCH($A28,APPLICANTS!$P:$P,0))&amp;"","")</f>
        <v/>
      </c>
      <c r="E28" t="str">
        <f ca="1">IFERROR(INDEX(APPLICANTS!I:I,MATCH($A28,APPLICANTS!$P:$P,0))&amp;"","")</f>
        <v/>
      </c>
      <c r="F28" t="str">
        <f ca="1">IFERROR(INDEX(APPLICANTS!K:K,MATCH($A28,APPLICANTS!$P:$P,0))&amp;"","")</f>
        <v/>
      </c>
      <c r="G28" s="3" t="str">
        <f ca="1">IFERROR(INDEX(APPLICANTS!L:L,MATCH($A28,APPLICANTS!$P:$P,0)),"")</f>
        <v/>
      </c>
      <c r="H28" t="str">
        <f ca="1">IFERROR(INDEX(APPLICANTS!M:M,MATCH($A28,APPLICANTS!$P:$P,0)),"")</f>
        <v/>
      </c>
      <c r="I28" t="str">
        <f ca="1">IFERROR(INDEX(APPLICANTS!N:N,MATCH($A28,APPLICANTS!$P:$P,0))&amp;"","")</f>
        <v/>
      </c>
      <c r="J28" t="str">
        <f ca="1">IFERROR(INDEX(APPLICANTS!O:O,MATCH($A28,APPLICANTS!$P:$P,0))&amp;"","")</f>
        <v/>
      </c>
    </row>
    <row r="29" spans="1:10" x14ac:dyDescent="0.35">
      <c r="A29">
        <v>26</v>
      </c>
      <c r="B29" t="str">
        <f ca="1">IFERROR(INDEX(APPLICANTS!A:A,MATCH($A29,APPLICANTS!$P:$P,0))&amp;"","")</f>
        <v/>
      </c>
      <c r="C29" t="str">
        <f ca="1">IFERROR(INDEX(APPLICANTS!B:B,MATCH($A29,APPLICANTS!$P:$P,0))&amp;"","")</f>
        <v/>
      </c>
      <c r="D29" t="str">
        <f ca="1">IFERROR(INDEX(APPLICANTS!D:D,MATCH($A29,APPLICANTS!$P:$P,0))&amp;"","")</f>
        <v/>
      </c>
      <c r="E29" t="str">
        <f ca="1">IFERROR(INDEX(APPLICANTS!I:I,MATCH($A29,APPLICANTS!$P:$P,0))&amp;"","")</f>
        <v/>
      </c>
      <c r="F29" t="str">
        <f ca="1">IFERROR(INDEX(APPLICANTS!K:K,MATCH($A29,APPLICANTS!$P:$P,0))&amp;"","")</f>
        <v/>
      </c>
      <c r="G29" s="3" t="str">
        <f ca="1">IFERROR(INDEX(APPLICANTS!L:L,MATCH($A29,APPLICANTS!$P:$P,0)),"")</f>
        <v/>
      </c>
      <c r="H29" t="str">
        <f ca="1">IFERROR(INDEX(APPLICANTS!M:M,MATCH($A29,APPLICANTS!$P:$P,0)),"")</f>
        <v/>
      </c>
      <c r="I29" t="str">
        <f ca="1">IFERROR(INDEX(APPLICANTS!N:N,MATCH($A29,APPLICANTS!$P:$P,0))&amp;"","")</f>
        <v/>
      </c>
      <c r="J29" t="str">
        <f ca="1">IFERROR(INDEX(APPLICANTS!O:O,MATCH($A29,APPLICANTS!$P:$P,0))&amp;"","")</f>
        <v/>
      </c>
    </row>
    <row r="30" spans="1:10" x14ac:dyDescent="0.35">
      <c r="A30">
        <v>27</v>
      </c>
      <c r="B30" t="str">
        <f ca="1">IFERROR(INDEX(APPLICANTS!A:A,MATCH($A30,APPLICANTS!$P:$P,0))&amp;"","")</f>
        <v/>
      </c>
      <c r="C30" t="str">
        <f ca="1">IFERROR(INDEX(APPLICANTS!B:B,MATCH($A30,APPLICANTS!$P:$P,0))&amp;"","")</f>
        <v/>
      </c>
      <c r="D30" t="str">
        <f ca="1">IFERROR(INDEX(APPLICANTS!D:D,MATCH($A30,APPLICANTS!$P:$P,0))&amp;"","")</f>
        <v/>
      </c>
      <c r="E30" t="str">
        <f ca="1">IFERROR(INDEX(APPLICANTS!I:I,MATCH($A30,APPLICANTS!$P:$P,0))&amp;"","")</f>
        <v/>
      </c>
      <c r="F30" t="str">
        <f ca="1">IFERROR(INDEX(APPLICANTS!K:K,MATCH($A30,APPLICANTS!$P:$P,0))&amp;"","")</f>
        <v/>
      </c>
      <c r="G30" s="3" t="str">
        <f ca="1">IFERROR(INDEX(APPLICANTS!L:L,MATCH($A30,APPLICANTS!$P:$P,0)),"")</f>
        <v/>
      </c>
      <c r="H30" t="str">
        <f ca="1">IFERROR(INDEX(APPLICANTS!M:M,MATCH($A30,APPLICANTS!$P:$P,0)),"")</f>
        <v/>
      </c>
      <c r="I30" t="str">
        <f ca="1">IFERROR(INDEX(APPLICANTS!N:N,MATCH($A30,APPLICANTS!$P:$P,0))&amp;"","")</f>
        <v/>
      </c>
      <c r="J30" t="str">
        <f ca="1">IFERROR(INDEX(APPLICANTS!O:O,MATCH($A30,APPLICANTS!$P:$P,0))&amp;"","")</f>
        <v/>
      </c>
    </row>
    <row r="31" spans="1:10" x14ac:dyDescent="0.35">
      <c r="A31">
        <v>28</v>
      </c>
      <c r="B31" t="str">
        <f ca="1">IFERROR(INDEX(APPLICANTS!A:A,MATCH($A31,APPLICANTS!$P:$P,0))&amp;"","")</f>
        <v/>
      </c>
      <c r="C31" t="str">
        <f ca="1">IFERROR(INDEX(APPLICANTS!B:B,MATCH($A31,APPLICANTS!$P:$P,0))&amp;"","")</f>
        <v/>
      </c>
      <c r="D31" t="str">
        <f ca="1">IFERROR(INDEX(APPLICANTS!D:D,MATCH($A31,APPLICANTS!$P:$P,0))&amp;"","")</f>
        <v/>
      </c>
      <c r="E31" t="str">
        <f ca="1">IFERROR(INDEX(APPLICANTS!I:I,MATCH($A31,APPLICANTS!$P:$P,0))&amp;"","")</f>
        <v/>
      </c>
      <c r="F31" t="str">
        <f ca="1">IFERROR(INDEX(APPLICANTS!K:K,MATCH($A31,APPLICANTS!$P:$P,0))&amp;"","")</f>
        <v/>
      </c>
      <c r="G31" s="3" t="str">
        <f ca="1">IFERROR(INDEX(APPLICANTS!L:L,MATCH($A31,APPLICANTS!$P:$P,0)),"")</f>
        <v/>
      </c>
      <c r="H31" t="str">
        <f ca="1">IFERROR(INDEX(APPLICANTS!M:M,MATCH($A31,APPLICANTS!$P:$P,0)),"")</f>
        <v/>
      </c>
      <c r="I31" t="str">
        <f ca="1">IFERROR(INDEX(APPLICANTS!N:N,MATCH($A31,APPLICANTS!$P:$P,0))&amp;"","")</f>
        <v/>
      </c>
      <c r="J31" t="str">
        <f ca="1">IFERROR(INDEX(APPLICANTS!O:O,MATCH($A31,APPLICANTS!$P:$P,0))&amp;"","")</f>
        <v/>
      </c>
    </row>
    <row r="32" spans="1:10" x14ac:dyDescent="0.35">
      <c r="A32">
        <v>29</v>
      </c>
      <c r="B32" t="str">
        <f ca="1">IFERROR(INDEX(APPLICANTS!A:A,MATCH($A32,APPLICANTS!$P:$P,0))&amp;"","")</f>
        <v/>
      </c>
      <c r="C32" t="str">
        <f ca="1">IFERROR(INDEX(APPLICANTS!B:B,MATCH($A32,APPLICANTS!$P:$P,0))&amp;"","")</f>
        <v/>
      </c>
      <c r="D32" t="str">
        <f ca="1">IFERROR(INDEX(APPLICANTS!D:D,MATCH($A32,APPLICANTS!$P:$P,0))&amp;"","")</f>
        <v/>
      </c>
      <c r="E32" t="str">
        <f ca="1">IFERROR(INDEX(APPLICANTS!I:I,MATCH($A32,APPLICANTS!$P:$P,0))&amp;"","")</f>
        <v/>
      </c>
      <c r="F32" t="str">
        <f ca="1">IFERROR(INDEX(APPLICANTS!K:K,MATCH($A32,APPLICANTS!$P:$P,0))&amp;"","")</f>
        <v/>
      </c>
      <c r="G32" s="3" t="str">
        <f ca="1">IFERROR(INDEX(APPLICANTS!L:L,MATCH($A32,APPLICANTS!$P:$P,0)),"")</f>
        <v/>
      </c>
      <c r="H32" t="str">
        <f ca="1">IFERROR(INDEX(APPLICANTS!M:M,MATCH($A32,APPLICANTS!$P:$P,0)),"")</f>
        <v/>
      </c>
      <c r="I32" t="str">
        <f ca="1">IFERROR(INDEX(APPLICANTS!N:N,MATCH($A32,APPLICANTS!$P:$P,0))&amp;"","")</f>
        <v/>
      </c>
      <c r="J32" t="str">
        <f ca="1">IFERROR(INDEX(APPLICANTS!O:O,MATCH($A32,APPLICANTS!$P:$P,0))&amp;"","")</f>
        <v/>
      </c>
    </row>
    <row r="33" spans="1:10" x14ac:dyDescent="0.35">
      <c r="A33">
        <v>30</v>
      </c>
      <c r="B33" t="str">
        <f ca="1">IFERROR(INDEX(APPLICANTS!A:A,MATCH($A33,APPLICANTS!$P:$P,0))&amp;"","")</f>
        <v/>
      </c>
      <c r="C33" t="str">
        <f ca="1">IFERROR(INDEX(APPLICANTS!B:B,MATCH($A33,APPLICANTS!$P:$P,0))&amp;"","")</f>
        <v/>
      </c>
      <c r="D33" t="str">
        <f ca="1">IFERROR(INDEX(APPLICANTS!D:D,MATCH($A33,APPLICANTS!$P:$P,0))&amp;"","")</f>
        <v/>
      </c>
      <c r="E33" t="str">
        <f ca="1">IFERROR(INDEX(APPLICANTS!I:I,MATCH($A33,APPLICANTS!$P:$P,0))&amp;"","")</f>
        <v/>
      </c>
      <c r="F33" t="str">
        <f ca="1">IFERROR(INDEX(APPLICANTS!K:K,MATCH($A33,APPLICANTS!$P:$P,0))&amp;"","")</f>
        <v/>
      </c>
      <c r="G33" s="3" t="str">
        <f ca="1">IFERROR(INDEX(APPLICANTS!L:L,MATCH($A33,APPLICANTS!$P:$P,0)),"")</f>
        <v/>
      </c>
      <c r="H33" t="str">
        <f ca="1">IFERROR(INDEX(APPLICANTS!M:M,MATCH($A33,APPLICANTS!$P:$P,0)),"")</f>
        <v/>
      </c>
      <c r="I33" t="str">
        <f ca="1">IFERROR(INDEX(APPLICANTS!N:N,MATCH($A33,APPLICANTS!$P:$P,0))&amp;"","")</f>
        <v/>
      </c>
      <c r="J33" t="str">
        <f ca="1">IFERROR(INDEX(APPLICANTS!O:O,MATCH($A33,APPLICANTS!$P:$P,0))&amp;"","")</f>
        <v/>
      </c>
    </row>
    <row r="34" spans="1:10" x14ac:dyDescent="0.35">
      <c r="A34">
        <v>31</v>
      </c>
      <c r="B34" t="str">
        <f ca="1">IFERROR(INDEX(APPLICANTS!A:A,MATCH($A34,APPLICANTS!$P:$P,0))&amp;"","")</f>
        <v/>
      </c>
      <c r="C34" t="str">
        <f ca="1">IFERROR(INDEX(APPLICANTS!B:B,MATCH($A34,APPLICANTS!$P:$P,0))&amp;"","")</f>
        <v/>
      </c>
      <c r="D34" t="str">
        <f ca="1">IFERROR(INDEX(APPLICANTS!D:D,MATCH($A34,APPLICANTS!$P:$P,0))&amp;"","")</f>
        <v/>
      </c>
      <c r="E34" t="str">
        <f ca="1">IFERROR(INDEX(APPLICANTS!I:I,MATCH($A34,APPLICANTS!$P:$P,0))&amp;"","")</f>
        <v/>
      </c>
      <c r="F34" t="str">
        <f ca="1">IFERROR(INDEX(APPLICANTS!K:K,MATCH($A34,APPLICANTS!$P:$P,0))&amp;"","")</f>
        <v/>
      </c>
      <c r="G34" s="3" t="str">
        <f ca="1">IFERROR(INDEX(APPLICANTS!L:L,MATCH($A34,APPLICANTS!$P:$P,0)),"")</f>
        <v/>
      </c>
      <c r="H34" t="str">
        <f ca="1">IFERROR(INDEX(APPLICANTS!M:M,MATCH($A34,APPLICANTS!$P:$P,0)),"")</f>
        <v/>
      </c>
      <c r="I34" t="str">
        <f ca="1">IFERROR(INDEX(APPLICANTS!N:N,MATCH($A34,APPLICANTS!$P:$P,0))&amp;"","")</f>
        <v/>
      </c>
      <c r="J34" t="str">
        <f ca="1">IFERROR(INDEX(APPLICANTS!O:O,MATCH($A34,APPLICANTS!$P:$P,0))&amp;"","")</f>
        <v/>
      </c>
    </row>
    <row r="35" spans="1:10" x14ac:dyDescent="0.35">
      <c r="A35">
        <v>32</v>
      </c>
      <c r="B35" t="str">
        <f ca="1">IFERROR(INDEX(APPLICANTS!A:A,MATCH($A35,APPLICANTS!$P:$P,0))&amp;"","")</f>
        <v/>
      </c>
      <c r="C35" t="str">
        <f ca="1">IFERROR(INDEX(APPLICANTS!B:B,MATCH($A35,APPLICANTS!$P:$P,0))&amp;"","")</f>
        <v/>
      </c>
      <c r="D35" t="str">
        <f ca="1">IFERROR(INDEX(APPLICANTS!D:D,MATCH($A35,APPLICANTS!$P:$P,0))&amp;"","")</f>
        <v/>
      </c>
      <c r="E35" t="str">
        <f ca="1">IFERROR(INDEX(APPLICANTS!I:I,MATCH($A35,APPLICANTS!$P:$P,0))&amp;"","")</f>
        <v/>
      </c>
      <c r="F35" t="str">
        <f ca="1">IFERROR(INDEX(APPLICANTS!K:K,MATCH($A35,APPLICANTS!$P:$P,0))&amp;"","")</f>
        <v/>
      </c>
      <c r="G35" s="3" t="str">
        <f ca="1">IFERROR(INDEX(APPLICANTS!L:L,MATCH($A35,APPLICANTS!$P:$P,0)),"")</f>
        <v/>
      </c>
      <c r="H35" t="str">
        <f ca="1">IFERROR(INDEX(APPLICANTS!M:M,MATCH($A35,APPLICANTS!$P:$P,0)),"")</f>
        <v/>
      </c>
      <c r="I35" t="str">
        <f ca="1">IFERROR(INDEX(APPLICANTS!N:N,MATCH($A35,APPLICANTS!$P:$P,0))&amp;"","")</f>
        <v/>
      </c>
      <c r="J35" t="str">
        <f ca="1">IFERROR(INDEX(APPLICANTS!O:O,MATCH($A35,APPLICANTS!$P:$P,0))&amp;"","")</f>
        <v/>
      </c>
    </row>
    <row r="36" spans="1:10" x14ac:dyDescent="0.35">
      <c r="A36">
        <v>33</v>
      </c>
      <c r="B36" t="str">
        <f ca="1">IFERROR(INDEX(APPLICANTS!A:A,MATCH($A36,APPLICANTS!$P:$P,0))&amp;"","")</f>
        <v/>
      </c>
      <c r="C36" t="str">
        <f ca="1">IFERROR(INDEX(APPLICANTS!B:B,MATCH($A36,APPLICANTS!$P:$P,0))&amp;"","")</f>
        <v/>
      </c>
      <c r="D36" t="str">
        <f ca="1">IFERROR(INDEX(APPLICANTS!D:D,MATCH($A36,APPLICANTS!$P:$P,0))&amp;"","")</f>
        <v/>
      </c>
      <c r="E36" t="str">
        <f ca="1">IFERROR(INDEX(APPLICANTS!I:I,MATCH($A36,APPLICANTS!$P:$P,0))&amp;"","")</f>
        <v/>
      </c>
      <c r="F36" t="str">
        <f ca="1">IFERROR(INDEX(APPLICANTS!K:K,MATCH($A36,APPLICANTS!$P:$P,0))&amp;"","")</f>
        <v/>
      </c>
      <c r="G36" s="3" t="str">
        <f ca="1">IFERROR(INDEX(APPLICANTS!L:L,MATCH($A36,APPLICANTS!$P:$P,0)),"")</f>
        <v/>
      </c>
      <c r="H36" t="str">
        <f ca="1">IFERROR(INDEX(APPLICANTS!M:M,MATCH($A36,APPLICANTS!$P:$P,0)),"")</f>
        <v/>
      </c>
      <c r="I36" t="str">
        <f ca="1">IFERROR(INDEX(APPLICANTS!N:N,MATCH($A36,APPLICANTS!$P:$P,0))&amp;"","")</f>
        <v/>
      </c>
      <c r="J36" t="str">
        <f ca="1">IFERROR(INDEX(APPLICANTS!O:O,MATCH($A36,APPLICANTS!$P:$P,0))&amp;"","")</f>
        <v/>
      </c>
    </row>
    <row r="37" spans="1:10" x14ac:dyDescent="0.35">
      <c r="A37">
        <v>34</v>
      </c>
      <c r="B37" t="str">
        <f ca="1">IFERROR(INDEX(APPLICANTS!A:A,MATCH($A37,APPLICANTS!$P:$P,0))&amp;"","")</f>
        <v/>
      </c>
      <c r="C37" t="str">
        <f ca="1">IFERROR(INDEX(APPLICANTS!B:B,MATCH($A37,APPLICANTS!$P:$P,0))&amp;"","")</f>
        <v/>
      </c>
      <c r="D37" t="str">
        <f ca="1">IFERROR(INDEX(APPLICANTS!D:D,MATCH($A37,APPLICANTS!$P:$P,0))&amp;"","")</f>
        <v/>
      </c>
      <c r="E37" t="str">
        <f ca="1">IFERROR(INDEX(APPLICANTS!I:I,MATCH($A37,APPLICANTS!$P:$P,0))&amp;"","")</f>
        <v/>
      </c>
      <c r="F37" t="str">
        <f ca="1">IFERROR(INDEX(APPLICANTS!K:K,MATCH($A37,APPLICANTS!$P:$P,0))&amp;"","")</f>
        <v/>
      </c>
      <c r="G37" s="3" t="str">
        <f ca="1">IFERROR(INDEX(APPLICANTS!L:L,MATCH($A37,APPLICANTS!$P:$P,0)),"")</f>
        <v/>
      </c>
      <c r="H37" t="str">
        <f ca="1">IFERROR(INDEX(APPLICANTS!M:M,MATCH($A37,APPLICANTS!$P:$P,0)),"")</f>
        <v/>
      </c>
      <c r="I37" t="str">
        <f ca="1">IFERROR(INDEX(APPLICANTS!N:N,MATCH($A37,APPLICANTS!$P:$P,0))&amp;"","")</f>
        <v/>
      </c>
      <c r="J37" t="str">
        <f ca="1">IFERROR(INDEX(APPLICANTS!O:O,MATCH($A37,APPLICANTS!$P:$P,0))&amp;"","")</f>
        <v/>
      </c>
    </row>
    <row r="38" spans="1:10" x14ac:dyDescent="0.35">
      <c r="A38">
        <v>35</v>
      </c>
      <c r="B38" t="str">
        <f ca="1">IFERROR(INDEX(APPLICANTS!A:A,MATCH($A38,APPLICANTS!$P:$P,0))&amp;"","")</f>
        <v/>
      </c>
      <c r="C38" t="str">
        <f ca="1">IFERROR(INDEX(APPLICANTS!B:B,MATCH($A38,APPLICANTS!$P:$P,0))&amp;"","")</f>
        <v/>
      </c>
      <c r="D38" t="str">
        <f ca="1">IFERROR(INDEX(APPLICANTS!D:D,MATCH($A38,APPLICANTS!$P:$P,0))&amp;"","")</f>
        <v/>
      </c>
      <c r="E38" t="str">
        <f ca="1">IFERROR(INDEX(APPLICANTS!I:I,MATCH($A38,APPLICANTS!$P:$P,0))&amp;"","")</f>
        <v/>
      </c>
      <c r="F38" t="str">
        <f ca="1">IFERROR(INDEX(APPLICANTS!K:K,MATCH($A38,APPLICANTS!$P:$P,0))&amp;"","")</f>
        <v/>
      </c>
      <c r="G38" s="3" t="str">
        <f ca="1">IFERROR(INDEX(APPLICANTS!L:L,MATCH($A38,APPLICANTS!$P:$P,0)),"")</f>
        <v/>
      </c>
      <c r="H38" t="str">
        <f ca="1">IFERROR(INDEX(APPLICANTS!M:M,MATCH($A38,APPLICANTS!$P:$P,0)),"")</f>
        <v/>
      </c>
      <c r="I38" t="str">
        <f ca="1">IFERROR(INDEX(APPLICANTS!N:N,MATCH($A38,APPLICANTS!$P:$P,0))&amp;"","")</f>
        <v/>
      </c>
      <c r="J38" t="str">
        <f ca="1">IFERROR(INDEX(APPLICANTS!O:O,MATCH($A38,APPLICANTS!$P:$P,0))&amp;"","")</f>
        <v/>
      </c>
    </row>
    <row r="39" spans="1:10" x14ac:dyDescent="0.35">
      <c r="A39">
        <v>36</v>
      </c>
      <c r="B39" t="str">
        <f ca="1">IFERROR(INDEX(APPLICANTS!A:A,MATCH($A39,APPLICANTS!$P:$P,0))&amp;"","")</f>
        <v/>
      </c>
      <c r="C39" t="str">
        <f ca="1">IFERROR(INDEX(APPLICANTS!B:B,MATCH($A39,APPLICANTS!$P:$P,0))&amp;"","")</f>
        <v/>
      </c>
      <c r="D39" t="str">
        <f ca="1">IFERROR(INDEX(APPLICANTS!D:D,MATCH($A39,APPLICANTS!$P:$P,0))&amp;"","")</f>
        <v/>
      </c>
      <c r="E39" t="str">
        <f ca="1">IFERROR(INDEX(APPLICANTS!I:I,MATCH($A39,APPLICANTS!$P:$P,0))&amp;"","")</f>
        <v/>
      </c>
      <c r="F39" t="str">
        <f ca="1">IFERROR(INDEX(APPLICANTS!K:K,MATCH($A39,APPLICANTS!$P:$P,0))&amp;"","")</f>
        <v/>
      </c>
      <c r="G39" s="3" t="str">
        <f ca="1">IFERROR(INDEX(APPLICANTS!L:L,MATCH($A39,APPLICANTS!$P:$P,0)),"")</f>
        <v/>
      </c>
      <c r="H39" t="str">
        <f ca="1">IFERROR(INDEX(APPLICANTS!M:M,MATCH($A39,APPLICANTS!$P:$P,0)),"")</f>
        <v/>
      </c>
      <c r="I39" t="str">
        <f ca="1">IFERROR(INDEX(APPLICANTS!N:N,MATCH($A39,APPLICANTS!$P:$P,0))&amp;"","")</f>
        <v/>
      </c>
      <c r="J39" t="str">
        <f ca="1">IFERROR(INDEX(APPLICANTS!O:O,MATCH($A39,APPLICANTS!$P:$P,0))&amp;"","")</f>
        <v/>
      </c>
    </row>
    <row r="40" spans="1:10" x14ac:dyDescent="0.35">
      <c r="A40">
        <v>37</v>
      </c>
      <c r="B40" t="str">
        <f ca="1">IFERROR(INDEX(APPLICANTS!A:A,MATCH($A40,APPLICANTS!$P:$P,0))&amp;"","")</f>
        <v/>
      </c>
      <c r="C40" t="str">
        <f ca="1">IFERROR(INDEX(APPLICANTS!B:B,MATCH($A40,APPLICANTS!$P:$P,0))&amp;"","")</f>
        <v/>
      </c>
      <c r="D40" t="str">
        <f ca="1">IFERROR(INDEX(APPLICANTS!D:D,MATCH($A40,APPLICANTS!$P:$P,0))&amp;"","")</f>
        <v/>
      </c>
      <c r="E40" t="str">
        <f ca="1">IFERROR(INDEX(APPLICANTS!I:I,MATCH($A40,APPLICANTS!$P:$P,0))&amp;"","")</f>
        <v/>
      </c>
      <c r="F40" t="str">
        <f ca="1">IFERROR(INDEX(APPLICANTS!K:K,MATCH($A40,APPLICANTS!$P:$P,0))&amp;"","")</f>
        <v/>
      </c>
      <c r="G40" s="3" t="str">
        <f ca="1">IFERROR(INDEX(APPLICANTS!L:L,MATCH($A40,APPLICANTS!$P:$P,0)),"")</f>
        <v/>
      </c>
      <c r="H40" t="str">
        <f ca="1">IFERROR(INDEX(APPLICANTS!M:M,MATCH($A40,APPLICANTS!$P:$P,0)),"")</f>
        <v/>
      </c>
      <c r="I40" t="str">
        <f ca="1">IFERROR(INDEX(APPLICANTS!N:N,MATCH($A40,APPLICANTS!$P:$P,0))&amp;"","")</f>
        <v/>
      </c>
      <c r="J40" t="str">
        <f ca="1">IFERROR(INDEX(APPLICANTS!O:O,MATCH($A40,APPLICANTS!$P:$P,0))&amp;"","")</f>
        <v/>
      </c>
    </row>
    <row r="41" spans="1:10" x14ac:dyDescent="0.35">
      <c r="A41">
        <v>38</v>
      </c>
      <c r="B41" t="str">
        <f ca="1">IFERROR(INDEX(APPLICANTS!A:A,MATCH($A41,APPLICANTS!$P:$P,0))&amp;"","")</f>
        <v/>
      </c>
      <c r="C41" t="str">
        <f ca="1">IFERROR(INDEX(APPLICANTS!B:B,MATCH($A41,APPLICANTS!$P:$P,0))&amp;"","")</f>
        <v/>
      </c>
      <c r="D41" t="str">
        <f ca="1">IFERROR(INDEX(APPLICANTS!D:D,MATCH($A41,APPLICANTS!$P:$P,0))&amp;"","")</f>
        <v/>
      </c>
      <c r="E41" t="str">
        <f ca="1">IFERROR(INDEX(APPLICANTS!I:I,MATCH($A41,APPLICANTS!$P:$P,0))&amp;"","")</f>
        <v/>
      </c>
      <c r="F41" t="str">
        <f ca="1">IFERROR(INDEX(APPLICANTS!K:K,MATCH($A41,APPLICANTS!$P:$P,0))&amp;"","")</f>
        <v/>
      </c>
      <c r="G41" s="3" t="str">
        <f ca="1">IFERROR(INDEX(APPLICANTS!L:L,MATCH($A41,APPLICANTS!$P:$P,0)),"")</f>
        <v/>
      </c>
      <c r="H41" t="str">
        <f ca="1">IFERROR(INDEX(APPLICANTS!M:M,MATCH($A41,APPLICANTS!$P:$P,0)),"")</f>
        <v/>
      </c>
      <c r="I41" t="str">
        <f ca="1">IFERROR(INDEX(APPLICANTS!N:N,MATCH($A41,APPLICANTS!$P:$P,0))&amp;"","")</f>
        <v/>
      </c>
      <c r="J41" t="str">
        <f ca="1">IFERROR(INDEX(APPLICANTS!O:O,MATCH($A41,APPLICANTS!$P:$P,0))&amp;"","")</f>
        <v/>
      </c>
    </row>
    <row r="42" spans="1:10" x14ac:dyDescent="0.35">
      <c r="A42">
        <v>39</v>
      </c>
      <c r="B42" t="str">
        <f ca="1">IFERROR(INDEX(APPLICANTS!A:A,MATCH($A42,APPLICANTS!$P:$P,0))&amp;"","")</f>
        <v/>
      </c>
      <c r="C42" t="str">
        <f ca="1">IFERROR(INDEX(APPLICANTS!B:B,MATCH($A42,APPLICANTS!$P:$P,0))&amp;"","")</f>
        <v/>
      </c>
      <c r="D42" t="str">
        <f ca="1">IFERROR(INDEX(APPLICANTS!D:D,MATCH($A42,APPLICANTS!$P:$P,0))&amp;"","")</f>
        <v/>
      </c>
      <c r="E42" t="str">
        <f ca="1">IFERROR(INDEX(APPLICANTS!I:I,MATCH($A42,APPLICANTS!$P:$P,0))&amp;"","")</f>
        <v/>
      </c>
      <c r="F42" t="str">
        <f ca="1">IFERROR(INDEX(APPLICANTS!K:K,MATCH($A42,APPLICANTS!$P:$P,0))&amp;"","")</f>
        <v/>
      </c>
      <c r="G42" s="3" t="str">
        <f ca="1">IFERROR(INDEX(APPLICANTS!L:L,MATCH($A42,APPLICANTS!$P:$P,0)),"")</f>
        <v/>
      </c>
      <c r="H42" t="str">
        <f ca="1">IFERROR(INDEX(APPLICANTS!M:M,MATCH($A42,APPLICANTS!$P:$P,0)),"")</f>
        <v/>
      </c>
      <c r="I42" t="str">
        <f ca="1">IFERROR(INDEX(APPLICANTS!N:N,MATCH($A42,APPLICANTS!$P:$P,0))&amp;"","")</f>
        <v/>
      </c>
      <c r="J42" t="str">
        <f ca="1">IFERROR(INDEX(APPLICANTS!O:O,MATCH($A42,APPLICANTS!$P:$P,0))&amp;"","")</f>
        <v/>
      </c>
    </row>
    <row r="43" spans="1:10" x14ac:dyDescent="0.35">
      <c r="A43">
        <v>40</v>
      </c>
      <c r="B43" t="str">
        <f ca="1">IFERROR(INDEX(APPLICANTS!A:A,MATCH($A43,APPLICANTS!$P:$P,0))&amp;"","")</f>
        <v/>
      </c>
      <c r="C43" t="str">
        <f ca="1">IFERROR(INDEX(APPLICANTS!B:B,MATCH($A43,APPLICANTS!$P:$P,0))&amp;"","")</f>
        <v/>
      </c>
      <c r="D43" t="str">
        <f ca="1">IFERROR(INDEX(APPLICANTS!D:D,MATCH($A43,APPLICANTS!$P:$P,0))&amp;"","")</f>
        <v/>
      </c>
      <c r="E43" t="str">
        <f ca="1">IFERROR(INDEX(APPLICANTS!I:I,MATCH($A43,APPLICANTS!$P:$P,0))&amp;"","")</f>
        <v/>
      </c>
      <c r="F43" t="str">
        <f ca="1">IFERROR(INDEX(APPLICANTS!K:K,MATCH($A43,APPLICANTS!$P:$P,0))&amp;"","")</f>
        <v/>
      </c>
      <c r="G43" s="3" t="str">
        <f ca="1">IFERROR(INDEX(APPLICANTS!L:L,MATCH($A43,APPLICANTS!$P:$P,0)),"")</f>
        <v/>
      </c>
      <c r="H43" t="str">
        <f ca="1">IFERROR(INDEX(APPLICANTS!M:M,MATCH($A43,APPLICANTS!$P:$P,0)),"")</f>
        <v/>
      </c>
      <c r="I43" t="str">
        <f ca="1">IFERROR(INDEX(APPLICANTS!N:N,MATCH($A43,APPLICANTS!$P:$P,0))&amp;"","")</f>
        <v/>
      </c>
      <c r="J43" t="str">
        <f ca="1">IFERROR(INDEX(APPLICANTS!O:O,MATCH($A43,APPLICANTS!$P:$P,0))&amp;"","")</f>
        <v/>
      </c>
    </row>
    <row r="44" spans="1:10" x14ac:dyDescent="0.35">
      <c r="A44">
        <v>41</v>
      </c>
      <c r="B44" t="str">
        <f ca="1">IFERROR(INDEX(APPLICANTS!A:A,MATCH($A44,APPLICANTS!$P:$P,0))&amp;"","")</f>
        <v/>
      </c>
      <c r="C44" t="str">
        <f ca="1">IFERROR(INDEX(APPLICANTS!B:B,MATCH($A44,APPLICANTS!$P:$P,0))&amp;"","")</f>
        <v/>
      </c>
      <c r="D44" t="str">
        <f ca="1">IFERROR(INDEX(APPLICANTS!D:D,MATCH($A44,APPLICANTS!$P:$P,0))&amp;"","")</f>
        <v/>
      </c>
      <c r="E44" t="str">
        <f ca="1">IFERROR(INDEX(APPLICANTS!I:I,MATCH($A44,APPLICANTS!$P:$P,0))&amp;"","")</f>
        <v/>
      </c>
      <c r="F44" t="str">
        <f ca="1">IFERROR(INDEX(APPLICANTS!K:K,MATCH($A44,APPLICANTS!$P:$P,0))&amp;"","")</f>
        <v/>
      </c>
      <c r="G44" s="3" t="str">
        <f ca="1">IFERROR(INDEX(APPLICANTS!L:L,MATCH($A44,APPLICANTS!$P:$P,0)),"")</f>
        <v/>
      </c>
      <c r="H44" t="str">
        <f ca="1">IFERROR(INDEX(APPLICANTS!M:M,MATCH($A44,APPLICANTS!$P:$P,0)),"")</f>
        <v/>
      </c>
      <c r="I44" t="str">
        <f ca="1">IFERROR(INDEX(APPLICANTS!N:N,MATCH($A44,APPLICANTS!$P:$P,0))&amp;"","")</f>
        <v/>
      </c>
      <c r="J44" t="str">
        <f ca="1">IFERROR(INDEX(APPLICANTS!O:O,MATCH($A44,APPLICANTS!$P:$P,0))&amp;"","")</f>
        <v/>
      </c>
    </row>
    <row r="45" spans="1:10" x14ac:dyDescent="0.35">
      <c r="A45">
        <v>42</v>
      </c>
      <c r="B45" t="str">
        <f ca="1">IFERROR(INDEX(APPLICANTS!A:A,MATCH($A45,APPLICANTS!$P:$P,0))&amp;"","")</f>
        <v/>
      </c>
      <c r="C45" t="str">
        <f ca="1">IFERROR(INDEX(APPLICANTS!B:B,MATCH($A45,APPLICANTS!$P:$P,0))&amp;"","")</f>
        <v/>
      </c>
      <c r="D45" t="str">
        <f ca="1">IFERROR(INDEX(APPLICANTS!D:D,MATCH($A45,APPLICANTS!$P:$P,0))&amp;"","")</f>
        <v/>
      </c>
      <c r="E45" t="str">
        <f ca="1">IFERROR(INDEX(APPLICANTS!I:I,MATCH($A45,APPLICANTS!$P:$P,0))&amp;"","")</f>
        <v/>
      </c>
      <c r="F45" t="str">
        <f ca="1">IFERROR(INDEX(APPLICANTS!K:K,MATCH($A45,APPLICANTS!$P:$P,0))&amp;"","")</f>
        <v/>
      </c>
      <c r="G45" s="3" t="str">
        <f ca="1">IFERROR(INDEX(APPLICANTS!L:L,MATCH($A45,APPLICANTS!$P:$P,0)),"")</f>
        <v/>
      </c>
      <c r="H45" t="str">
        <f ca="1">IFERROR(INDEX(APPLICANTS!M:M,MATCH($A45,APPLICANTS!$P:$P,0)),"")</f>
        <v/>
      </c>
      <c r="I45" t="str">
        <f ca="1">IFERROR(INDEX(APPLICANTS!N:N,MATCH($A45,APPLICANTS!$P:$P,0))&amp;"","")</f>
        <v/>
      </c>
      <c r="J45" t="str">
        <f ca="1">IFERROR(INDEX(APPLICANTS!O:O,MATCH($A45,APPLICANTS!$P:$P,0))&amp;"","")</f>
        <v/>
      </c>
    </row>
    <row r="46" spans="1:10" x14ac:dyDescent="0.35">
      <c r="A46">
        <v>43</v>
      </c>
      <c r="B46" t="str">
        <f ca="1">IFERROR(INDEX(APPLICANTS!A:A,MATCH($A46,APPLICANTS!$P:$P,0))&amp;"","")</f>
        <v/>
      </c>
      <c r="C46" t="str">
        <f ca="1">IFERROR(INDEX(APPLICANTS!B:B,MATCH($A46,APPLICANTS!$P:$P,0))&amp;"","")</f>
        <v/>
      </c>
      <c r="D46" t="str">
        <f ca="1">IFERROR(INDEX(APPLICANTS!D:D,MATCH($A46,APPLICANTS!$P:$P,0))&amp;"","")</f>
        <v/>
      </c>
      <c r="E46" t="str">
        <f ca="1">IFERROR(INDEX(APPLICANTS!I:I,MATCH($A46,APPLICANTS!$P:$P,0))&amp;"","")</f>
        <v/>
      </c>
      <c r="F46" t="str">
        <f ca="1">IFERROR(INDEX(APPLICANTS!K:K,MATCH($A46,APPLICANTS!$P:$P,0))&amp;"","")</f>
        <v/>
      </c>
      <c r="G46" s="3" t="str">
        <f ca="1">IFERROR(INDEX(APPLICANTS!L:L,MATCH($A46,APPLICANTS!$P:$P,0)),"")</f>
        <v/>
      </c>
      <c r="H46" t="str">
        <f ca="1">IFERROR(INDEX(APPLICANTS!M:M,MATCH($A46,APPLICANTS!$P:$P,0)),"")</f>
        <v/>
      </c>
      <c r="I46" t="str">
        <f ca="1">IFERROR(INDEX(APPLICANTS!N:N,MATCH($A46,APPLICANTS!$P:$P,0))&amp;"","")</f>
        <v/>
      </c>
      <c r="J46" t="str">
        <f ca="1">IFERROR(INDEX(APPLICANTS!O:O,MATCH($A46,APPLICANTS!$P:$P,0))&amp;"","")</f>
        <v/>
      </c>
    </row>
    <row r="47" spans="1:10" x14ac:dyDescent="0.35">
      <c r="A47">
        <v>44</v>
      </c>
      <c r="B47" t="str">
        <f ca="1">IFERROR(INDEX(APPLICANTS!A:A,MATCH($A47,APPLICANTS!$P:$P,0))&amp;"","")</f>
        <v/>
      </c>
      <c r="C47" t="str">
        <f ca="1">IFERROR(INDEX(APPLICANTS!B:B,MATCH($A47,APPLICANTS!$P:$P,0))&amp;"","")</f>
        <v/>
      </c>
      <c r="D47" t="str">
        <f ca="1">IFERROR(INDEX(APPLICANTS!D:D,MATCH($A47,APPLICANTS!$P:$P,0))&amp;"","")</f>
        <v/>
      </c>
      <c r="E47" t="str">
        <f ca="1">IFERROR(INDEX(APPLICANTS!I:I,MATCH($A47,APPLICANTS!$P:$P,0))&amp;"","")</f>
        <v/>
      </c>
      <c r="F47" t="str">
        <f ca="1">IFERROR(INDEX(APPLICANTS!K:K,MATCH($A47,APPLICANTS!$P:$P,0))&amp;"","")</f>
        <v/>
      </c>
      <c r="G47" s="3" t="str">
        <f ca="1">IFERROR(INDEX(APPLICANTS!L:L,MATCH($A47,APPLICANTS!$P:$P,0)),"")</f>
        <v/>
      </c>
      <c r="H47" t="str">
        <f ca="1">IFERROR(INDEX(APPLICANTS!M:M,MATCH($A47,APPLICANTS!$P:$P,0)),"")</f>
        <v/>
      </c>
      <c r="I47" t="str">
        <f ca="1">IFERROR(INDEX(APPLICANTS!N:N,MATCH($A47,APPLICANTS!$P:$P,0))&amp;"","")</f>
        <v/>
      </c>
      <c r="J47" t="str">
        <f ca="1">IFERROR(INDEX(APPLICANTS!O:O,MATCH($A47,APPLICANTS!$P:$P,0))&amp;"","")</f>
        <v/>
      </c>
    </row>
    <row r="48" spans="1:10" x14ac:dyDescent="0.35">
      <c r="A48">
        <v>45</v>
      </c>
      <c r="B48" t="str">
        <f ca="1">IFERROR(INDEX(APPLICANTS!A:A,MATCH($A48,APPLICANTS!$P:$P,0))&amp;"","")</f>
        <v/>
      </c>
      <c r="C48" t="str">
        <f ca="1">IFERROR(INDEX(APPLICANTS!B:B,MATCH($A48,APPLICANTS!$P:$P,0))&amp;"","")</f>
        <v/>
      </c>
      <c r="D48" t="str">
        <f ca="1">IFERROR(INDEX(APPLICANTS!D:D,MATCH($A48,APPLICANTS!$P:$P,0))&amp;"","")</f>
        <v/>
      </c>
      <c r="E48" t="str">
        <f ca="1">IFERROR(INDEX(APPLICANTS!I:I,MATCH($A48,APPLICANTS!$P:$P,0))&amp;"","")</f>
        <v/>
      </c>
      <c r="F48" t="str">
        <f ca="1">IFERROR(INDEX(APPLICANTS!K:K,MATCH($A48,APPLICANTS!$P:$P,0))&amp;"","")</f>
        <v/>
      </c>
      <c r="G48" s="3" t="str">
        <f ca="1">IFERROR(INDEX(APPLICANTS!L:L,MATCH($A48,APPLICANTS!$P:$P,0)),"")</f>
        <v/>
      </c>
      <c r="H48" t="str">
        <f ca="1">IFERROR(INDEX(APPLICANTS!M:M,MATCH($A48,APPLICANTS!$P:$P,0)),"")</f>
        <v/>
      </c>
      <c r="I48" t="str">
        <f ca="1">IFERROR(INDEX(APPLICANTS!N:N,MATCH($A48,APPLICANTS!$P:$P,0))&amp;"","")</f>
        <v/>
      </c>
      <c r="J48" t="str">
        <f ca="1">IFERROR(INDEX(APPLICANTS!O:O,MATCH($A48,APPLICANTS!$P:$P,0))&amp;"","")</f>
        <v/>
      </c>
    </row>
    <row r="49" spans="1:10" x14ac:dyDescent="0.35">
      <c r="A49">
        <v>46</v>
      </c>
      <c r="B49" t="str">
        <f ca="1">IFERROR(INDEX(APPLICANTS!A:A,MATCH($A49,APPLICANTS!$P:$P,0))&amp;"","")</f>
        <v/>
      </c>
      <c r="C49" t="str">
        <f ca="1">IFERROR(INDEX(APPLICANTS!B:B,MATCH($A49,APPLICANTS!$P:$P,0))&amp;"","")</f>
        <v/>
      </c>
      <c r="D49" t="str">
        <f ca="1">IFERROR(INDEX(APPLICANTS!D:D,MATCH($A49,APPLICANTS!$P:$P,0))&amp;"","")</f>
        <v/>
      </c>
      <c r="E49" t="str">
        <f ca="1">IFERROR(INDEX(APPLICANTS!I:I,MATCH($A49,APPLICANTS!$P:$P,0))&amp;"","")</f>
        <v/>
      </c>
      <c r="F49" t="str">
        <f ca="1">IFERROR(INDEX(APPLICANTS!K:K,MATCH($A49,APPLICANTS!$P:$P,0))&amp;"","")</f>
        <v/>
      </c>
      <c r="G49" s="3" t="str">
        <f ca="1">IFERROR(INDEX(APPLICANTS!L:L,MATCH($A49,APPLICANTS!$P:$P,0)),"")</f>
        <v/>
      </c>
      <c r="H49" t="str">
        <f ca="1">IFERROR(INDEX(APPLICANTS!M:M,MATCH($A49,APPLICANTS!$P:$P,0)),"")</f>
        <v/>
      </c>
      <c r="I49" t="str">
        <f ca="1">IFERROR(INDEX(APPLICANTS!N:N,MATCH($A49,APPLICANTS!$P:$P,0))&amp;"","")</f>
        <v/>
      </c>
      <c r="J49" t="str">
        <f ca="1">IFERROR(INDEX(APPLICANTS!O:O,MATCH($A49,APPLICANTS!$P:$P,0))&amp;"","")</f>
        <v/>
      </c>
    </row>
    <row r="50" spans="1:10" x14ac:dyDescent="0.35">
      <c r="A50">
        <v>47</v>
      </c>
      <c r="B50" t="str">
        <f ca="1">IFERROR(INDEX(APPLICANTS!A:A,MATCH($A50,APPLICANTS!$P:$P,0))&amp;"","")</f>
        <v/>
      </c>
      <c r="C50" t="str">
        <f ca="1">IFERROR(INDEX(APPLICANTS!B:B,MATCH($A50,APPLICANTS!$P:$P,0))&amp;"","")</f>
        <v/>
      </c>
      <c r="D50" t="str">
        <f ca="1">IFERROR(INDEX(APPLICANTS!D:D,MATCH($A50,APPLICANTS!$P:$P,0))&amp;"","")</f>
        <v/>
      </c>
      <c r="E50" t="str">
        <f ca="1">IFERROR(INDEX(APPLICANTS!I:I,MATCH($A50,APPLICANTS!$P:$P,0))&amp;"","")</f>
        <v/>
      </c>
      <c r="F50" t="str">
        <f ca="1">IFERROR(INDEX(APPLICANTS!K:K,MATCH($A50,APPLICANTS!$P:$P,0))&amp;"","")</f>
        <v/>
      </c>
      <c r="G50" s="3" t="str">
        <f ca="1">IFERROR(INDEX(APPLICANTS!L:L,MATCH($A50,APPLICANTS!$P:$P,0)),"")</f>
        <v/>
      </c>
      <c r="H50" t="str">
        <f ca="1">IFERROR(INDEX(APPLICANTS!M:M,MATCH($A50,APPLICANTS!$P:$P,0)),"")</f>
        <v/>
      </c>
      <c r="I50" t="str">
        <f ca="1">IFERROR(INDEX(APPLICANTS!N:N,MATCH($A50,APPLICANTS!$P:$P,0))&amp;"","")</f>
        <v/>
      </c>
      <c r="J50" t="str">
        <f ca="1">IFERROR(INDEX(APPLICANTS!O:O,MATCH($A50,APPLICANTS!$P:$P,0))&amp;"","")</f>
        <v/>
      </c>
    </row>
    <row r="51" spans="1:10" x14ac:dyDescent="0.35">
      <c r="A51">
        <v>48</v>
      </c>
      <c r="B51" t="str">
        <f ca="1">IFERROR(INDEX(APPLICANTS!A:A,MATCH($A51,APPLICANTS!$P:$P,0))&amp;"","")</f>
        <v/>
      </c>
      <c r="C51" t="str">
        <f ca="1">IFERROR(INDEX(APPLICANTS!B:B,MATCH($A51,APPLICANTS!$P:$P,0))&amp;"","")</f>
        <v/>
      </c>
      <c r="D51" t="str">
        <f ca="1">IFERROR(INDEX(APPLICANTS!D:D,MATCH($A51,APPLICANTS!$P:$P,0))&amp;"","")</f>
        <v/>
      </c>
      <c r="E51" t="str">
        <f ca="1">IFERROR(INDEX(APPLICANTS!I:I,MATCH($A51,APPLICANTS!$P:$P,0))&amp;"","")</f>
        <v/>
      </c>
      <c r="F51" t="str">
        <f ca="1">IFERROR(INDEX(APPLICANTS!K:K,MATCH($A51,APPLICANTS!$P:$P,0))&amp;"","")</f>
        <v/>
      </c>
      <c r="G51" s="3" t="str">
        <f ca="1">IFERROR(INDEX(APPLICANTS!L:L,MATCH($A51,APPLICANTS!$P:$P,0)),"")</f>
        <v/>
      </c>
      <c r="H51" t="str">
        <f ca="1">IFERROR(INDEX(APPLICANTS!M:M,MATCH($A51,APPLICANTS!$P:$P,0)),"")</f>
        <v/>
      </c>
      <c r="I51" t="str">
        <f ca="1">IFERROR(INDEX(APPLICANTS!N:N,MATCH($A51,APPLICANTS!$P:$P,0))&amp;"","")</f>
        <v/>
      </c>
      <c r="J51" t="str">
        <f ca="1">IFERROR(INDEX(APPLICANTS!O:O,MATCH($A51,APPLICANTS!$P:$P,0))&amp;"","")</f>
        <v/>
      </c>
    </row>
    <row r="52" spans="1:10" x14ac:dyDescent="0.35">
      <c r="A52">
        <v>49</v>
      </c>
      <c r="B52" t="str">
        <f ca="1">IFERROR(INDEX(APPLICANTS!A:A,MATCH($A52,APPLICANTS!$P:$P,0))&amp;"","")</f>
        <v/>
      </c>
      <c r="C52" t="str">
        <f ca="1">IFERROR(INDEX(APPLICANTS!B:B,MATCH($A52,APPLICANTS!$P:$P,0))&amp;"","")</f>
        <v/>
      </c>
      <c r="D52" t="str">
        <f ca="1">IFERROR(INDEX(APPLICANTS!D:D,MATCH($A52,APPLICANTS!$P:$P,0))&amp;"","")</f>
        <v/>
      </c>
      <c r="E52" t="str">
        <f ca="1">IFERROR(INDEX(APPLICANTS!I:I,MATCH($A52,APPLICANTS!$P:$P,0))&amp;"","")</f>
        <v/>
      </c>
      <c r="F52" t="str">
        <f ca="1">IFERROR(INDEX(APPLICANTS!K:K,MATCH($A52,APPLICANTS!$P:$P,0))&amp;"","")</f>
        <v/>
      </c>
      <c r="G52" s="3" t="str">
        <f ca="1">IFERROR(INDEX(APPLICANTS!L:L,MATCH($A52,APPLICANTS!$P:$P,0)),"")</f>
        <v/>
      </c>
      <c r="H52" t="str">
        <f ca="1">IFERROR(INDEX(APPLICANTS!M:M,MATCH($A52,APPLICANTS!$P:$P,0)),"")</f>
        <v/>
      </c>
      <c r="I52" t="str">
        <f ca="1">IFERROR(INDEX(APPLICANTS!N:N,MATCH($A52,APPLICANTS!$P:$P,0))&amp;"","")</f>
        <v/>
      </c>
      <c r="J52" t="str">
        <f ca="1">IFERROR(INDEX(APPLICANTS!O:O,MATCH($A52,APPLICANTS!$P:$P,0))&amp;"","")</f>
        <v/>
      </c>
    </row>
    <row r="53" spans="1:10" x14ac:dyDescent="0.35">
      <c r="A53">
        <v>50</v>
      </c>
      <c r="B53" t="str">
        <f ca="1">IFERROR(INDEX(APPLICANTS!A:A,MATCH($A53,APPLICANTS!$P:$P,0))&amp;"","")</f>
        <v/>
      </c>
      <c r="C53" t="str">
        <f ca="1">IFERROR(INDEX(APPLICANTS!B:B,MATCH($A53,APPLICANTS!$P:$P,0))&amp;"","")</f>
        <v/>
      </c>
      <c r="D53" t="str">
        <f ca="1">IFERROR(INDEX(APPLICANTS!D:D,MATCH($A53,APPLICANTS!$P:$P,0))&amp;"","")</f>
        <v/>
      </c>
      <c r="E53" t="str">
        <f ca="1">IFERROR(INDEX(APPLICANTS!I:I,MATCH($A53,APPLICANTS!$P:$P,0))&amp;"","")</f>
        <v/>
      </c>
      <c r="F53" t="str">
        <f ca="1">IFERROR(INDEX(APPLICANTS!K:K,MATCH($A53,APPLICANTS!$P:$P,0))&amp;"","")</f>
        <v/>
      </c>
      <c r="G53" s="3" t="str">
        <f ca="1">IFERROR(INDEX(APPLICANTS!L:L,MATCH($A53,APPLICANTS!$P:$P,0)),"")</f>
        <v/>
      </c>
      <c r="H53" t="str">
        <f ca="1">IFERROR(INDEX(APPLICANTS!M:M,MATCH($A53,APPLICANTS!$P:$P,0)),"")</f>
        <v/>
      </c>
      <c r="I53" t="str">
        <f ca="1">IFERROR(INDEX(APPLICANTS!N:N,MATCH($A53,APPLICANTS!$P:$P,0))&amp;"","")</f>
        <v/>
      </c>
      <c r="J53" t="str">
        <f ca="1">IFERROR(INDEX(APPLICANTS!O:O,MATCH($A53,APPLICANTS!$P:$P,0))&amp;"","")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APPLICANTS</vt:lpstr>
      <vt:lpstr>LISTS</vt:lpstr>
      <vt:lpstr>ACTION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L I T E</dc:creator>
  <cp:lastModifiedBy>E L I T E</cp:lastModifiedBy>
  <dcterms:created xsi:type="dcterms:W3CDTF">2026-09-24T21:40:51Z</dcterms:created>
  <dcterms:modified xsi:type="dcterms:W3CDTF">2026-09-26T14:45:02Z</dcterms:modified>
</cp:coreProperties>
</file>